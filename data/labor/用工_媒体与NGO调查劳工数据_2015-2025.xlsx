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劳工数据" sheetId="1" state="visible" r:id="rId3"/>
    <sheet name="收入计算器_正式工vs派遣工" sheetId="2" state="visible" r:id="rId4"/>
    <sheet name="工资结构对比" sheetId="3" state="visible" r:id="rId5"/>
    <sheet name="说明" sheetId="4" state="visible" r:id="rId6"/>
  </sheets>
  <definedNames>
    <definedName function="false" hidden="true" localSheetId="0" name="_xlnm._FilterDatabase" vbProcedure="false">劳工数据!$A$3:$H$54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<sst xmlns="http://schemas.openxmlformats.org/spreadsheetml/2006/main" count="511" uniqueCount="286">
  <si>
    <r>
      <rPr>
        <b val="true"/>
        <sz val="13"/>
        <rFont val="Noto Sans CJK SC"/>
        <family val="2"/>
      </rPr>
      <t xml:space="preserve">富士康郑州：媒体、</t>
    </r>
    <r>
      <rPr>
        <b val="true"/>
        <sz val="13"/>
        <rFont val="Cambria"/>
        <family val="0"/>
        <charset val="1"/>
      </rPr>
      <t xml:space="preserve">NGO</t>
    </r>
    <r>
      <rPr>
        <b val="true"/>
        <sz val="13"/>
        <rFont val="Noto Sans CJK SC"/>
        <family val="2"/>
      </rPr>
      <t xml:space="preserve">调查、官方文件与裁判文书中的工厂层面劳工数据（</t>
    </r>
    <r>
      <rPr>
        <b val="true"/>
        <sz val="13"/>
        <rFont val="Cambria"/>
        <family val="0"/>
        <charset val="1"/>
      </rPr>
      <t xml:space="preserve">2015–2025</t>
    </r>
    <r>
      <rPr>
        <b val="true"/>
        <sz val="13"/>
        <rFont val="Noto Sans CJK SC"/>
        <family val="2"/>
      </rPr>
      <t xml:space="preserve">）</t>
    </r>
  </si>
  <si>
    <t xml:space="preserve">指标</t>
  </si>
  <si>
    <t xml:space="preserve">数值</t>
  </si>
  <si>
    <t xml:space="preserve">年份</t>
  </si>
  <si>
    <r>
      <rPr>
        <b val="true"/>
        <sz val="11"/>
        <color rgb="FFFFFFFF"/>
        <rFont val="Noto Sans CJK SC"/>
        <family val="2"/>
      </rPr>
      <t xml:space="preserve">实体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范围</t>
    </r>
  </si>
  <si>
    <t xml:space="preserve">来源类型</t>
  </si>
  <si>
    <t xml:space="preserve">来源</t>
  </si>
  <si>
    <t xml:space="preserve">URL</t>
  </si>
  <si>
    <t xml:space="preserve">备注</t>
  </si>
  <si>
    <t xml:space="preserve">底薪</t>
  </si>
  <si>
    <r>
      <rPr>
        <sz val="11"/>
        <color theme="1"/>
        <rFont val="Noto Sans CJK SC"/>
        <family val="2"/>
      </rPr>
      <t xml:space="preserve">试用</t>
    </r>
    <r>
      <rPr>
        <sz val="11"/>
        <color theme="1"/>
        <rFont val="Calibri"/>
        <family val="2"/>
        <charset val="1"/>
      </rPr>
      <t xml:space="preserve">1,900</t>
    </r>
    <r>
      <rPr>
        <sz val="11"/>
        <color theme="1"/>
        <rFont val="Noto Sans CJK SC"/>
        <family val="2"/>
      </rPr>
      <t xml:space="preserve">元，转正</t>
    </r>
    <r>
      <rPr>
        <sz val="11"/>
        <color theme="1"/>
        <rFont val="Calibri"/>
        <family val="2"/>
        <charset val="1"/>
      </rPr>
      <t xml:space="preserve">2,100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2015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月起未调）</t>
    </r>
  </si>
  <si>
    <t xml:space="preserve">2015–2019</t>
  </si>
  <si>
    <t xml:space="preserve">郑州厂区</t>
  </si>
  <si>
    <r>
      <rPr>
        <sz val="11"/>
        <color theme="1"/>
        <rFont val="Calibri"/>
        <family val="2"/>
        <charset val="1"/>
      </rPr>
      <t xml:space="preserve">NGO</t>
    </r>
    <r>
      <rPr>
        <sz val="11"/>
        <color theme="1"/>
        <rFont val="Noto Sans CJK SC"/>
        <family val="2"/>
      </rPr>
      <t xml:space="preserve">调查报告</t>
    </r>
  </si>
  <si>
    <t xml:space="preserve">CLW 2019</t>
  </si>
  <si>
    <t xml:space="preserve">https://chinalaborwatch.org/wp-content/uploads/2021/06/Zhengzhou-Foxconn-English-09.06.pdf</t>
  </si>
  <si>
    <t xml:space="preserve">入职返费</t>
  </si>
  <si>
    <r>
      <rPr>
        <sz val="11"/>
        <color theme="1"/>
        <rFont val="Calibri"/>
        <family val="2"/>
        <charset val="1"/>
      </rPr>
      <t xml:space="preserve">2016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元；</t>
    </r>
    <r>
      <rPr>
        <sz val="11"/>
        <color theme="1"/>
        <rFont val="Calibri"/>
        <family val="2"/>
        <charset val="1"/>
      </rPr>
      <t xml:space="preserve">2017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8,000–9,000</t>
    </r>
    <r>
      <rPr>
        <sz val="11"/>
        <color theme="1"/>
        <rFont val="Noto Sans CJK SC"/>
        <family val="2"/>
      </rPr>
      <t xml:space="preserve">元；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9,000</t>
    </r>
    <r>
      <rPr>
        <sz val="11"/>
        <color theme="1"/>
        <rFont val="Noto Sans CJK SC"/>
        <family val="2"/>
      </rPr>
      <t xml:space="preserve">元</t>
    </r>
  </si>
  <si>
    <t xml:space="preserve">2016–2018</t>
  </si>
  <si>
    <t xml:space="preserve">用工规模</t>
  </si>
  <si>
    <r>
      <rPr>
        <sz val="11"/>
        <color theme="1"/>
        <rFont val="Calibri"/>
        <family val="2"/>
        <charset val="1"/>
      </rPr>
      <t xml:space="preserve">2017–18</t>
    </r>
    <r>
      <rPr>
        <sz val="11"/>
        <color theme="1"/>
        <rFont val="Noto Sans CJK SC"/>
        <family val="2"/>
      </rPr>
      <t xml:space="preserve">高峰</t>
    </r>
    <r>
      <rPr>
        <sz val="11"/>
        <color theme="1"/>
        <rFont val="Calibri"/>
        <family val="2"/>
        <charset val="1"/>
      </rPr>
      <t xml:space="preserve">&gt;30</t>
    </r>
    <r>
      <rPr>
        <sz val="11"/>
        <color theme="1"/>
        <rFont val="Noto Sans CJK SC"/>
        <family val="2"/>
      </rPr>
      <t xml:space="preserve">万；</t>
    </r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淡季约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万；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&gt;15</t>
    </r>
    <r>
      <rPr>
        <sz val="11"/>
        <color theme="1"/>
        <rFont val="Noto Sans CJK SC"/>
        <family val="2"/>
      </rPr>
      <t xml:space="preserve">万</t>
    </r>
  </si>
  <si>
    <t xml:space="preserve">2017–2019</t>
  </si>
  <si>
    <t xml:space="preserve">派遣工占比</t>
  </si>
  <si>
    <r>
      <rPr>
        <sz val="11"/>
        <color theme="1"/>
        <rFont val="Calibri"/>
        <family val="2"/>
        <charset val="1"/>
      </rPr>
      <t xml:space="preserve">2018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月约</t>
    </r>
    <r>
      <rPr>
        <sz val="11"/>
        <color theme="1"/>
        <rFont val="Calibri"/>
        <family val="2"/>
        <charset val="1"/>
      </rPr>
      <t xml:space="preserve">50%</t>
    </r>
  </si>
  <si>
    <t xml:space="preserve">2018–2019</t>
  </si>
  <si>
    <r>
      <rPr>
        <sz val="11"/>
        <color theme="1"/>
        <rFont val="Noto Sans CJK SC"/>
        <family val="2"/>
      </rPr>
      <t xml:space="preserve">时薪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加班费率</t>
    </r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</si>
  <si>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元；工作日加班</t>
    </r>
    <r>
      <rPr>
        <sz val="11"/>
        <color theme="1"/>
        <rFont val="Calibri"/>
        <family val="2"/>
        <charset val="1"/>
      </rPr>
      <t xml:space="preserve">18</t>
    </r>
    <r>
      <rPr>
        <sz val="11"/>
        <color theme="1"/>
        <rFont val="Noto Sans CJK SC"/>
        <family val="2"/>
      </rPr>
      <t xml:space="preserve">元；周末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元</t>
    </r>
  </si>
  <si>
    <t xml:space="preserve">2019</t>
  </si>
  <si>
    <t xml:space="preserve">月收入</t>
  </si>
  <si>
    <r>
      <rPr>
        <sz val="11"/>
        <color theme="1"/>
        <rFont val="Noto Sans CJK SC"/>
        <family val="2"/>
      </rPr>
      <t xml:space="preserve">淡季约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元；旺季约</t>
    </r>
    <r>
      <rPr>
        <sz val="11"/>
        <color theme="1"/>
        <rFont val="Calibri"/>
        <family val="2"/>
        <charset val="1"/>
      </rPr>
      <t xml:space="preserve">3,500</t>
    </r>
    <r>
      <rPr>
        <sz val="11"/>
        <color theme="1"/>
        <rFont val="Noto Sans CJK SC"/>
        <family val="2"/>
      </rPr>
      <t xml:space="preserve">元</t>
    </r>
  </si>
  <si>
    <t xml:space="preserve">参保人数</t>
  </si>
  <si>
    <t xml:space="preserve">68,240</t>
  </si>
  <si>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（年报）</t>
    </r>
  </si>
  <si>
    <t xml:space="preserve">鸿富锦精密电子（郑州）</t>
  </si>
  <si>
    <t xml:space="preserve">官方文件</t>
  </si>
  <si>
    <t xml:space="preserve">工商年报（外企查；企查查年报核对）</t>
  </si>
  <si>
    <t xml:space="preserve">https://www.waiqicha.com/ds/d_1180716037790512152.html</t>
  </si>
  <si>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年报工伤保险口径。正式工口径；派遣工和小时工大多不在本主体参保。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年完整序列见“用工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富士康郑州四家实体社保参保人数</t>
    </r>
    <r>
      <rPr>
        <sz val="11"/>
        <color theme="1"/>
        <rFont val="Calibri"/>
        <family val="2"/>
        <charset val="1"/>
      </rPr>
      <t xml:space="preserve">_2016-2025.xlsx”</t>
    </r>
  </si>
  <si>
    <t xml:space="preserve">疫情期间招工条件</t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</si>
  <si>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时；满勤最高</t>
    </r>
    <r>
      <rPr>
        <sz val="11"/>
        <color theme="1"/>
        <rFont val="Calibri"/>
        <family val="2"/>
        <charset val="1"/>
      </rPr>
      <t xml:space="preserve">15,000</t>
    </r>
    <r>
      <rPr>
        <sz val="11"/>
        <color theme="1"/>
        <rFont val="Noto Sans CJK SC"/>
        <family val="2"/>
      </rPr>
      <t xml:space="preserve">元</t>
    </r>
  </si>
  <si>
    <t xml:space="preserve">2022-11</t>
  </si>
  <si>
    <t xml:space="preserve">新闻报道</t>
  </si>
  <si>
    <t xml:space="preserve">每经网</t>
  </si>
  <si>
    <t xml:space="preserve">https://www.nbd.com.cn/articles/2022-11-23/2565095.html</t>
  </si>
  <si>
    <t xml:space="preserve">当地最低工资（一类）</t>
  </si>
  <si>
    <r>
      <rPr>
        <sz val="11"/>
        <color theme="1"/>
        <rFont val="Calibri"/>
        <family val="2"/>
        <charset val="1"/>
      </rPr>
      <t xml:space="preserve">2,350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起）｜</t>
    </r>
    <r>
      <rPr>
        <sz val="11"/>
        <color theme="1"/>
        <rFont val="Calibri"/>
        <family val="2"/>
        <charset val="1"/>
      </rPr>
      <t xml:space="preserve">2,100/20.6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2024–25.11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2,000/19.6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2022–23</t>
    </r>
    <r>
      <rPr>
        <sz val="11"/>
        <color theme="1"/>
        <rFont val="Noto Sans CJK SC"/>
        <family val="2"/>
      </rPr>
      <t xml:space="preserve">）</t>
    </r>
  </si>
  <si>
    <t xml:space="preserve">2022–2025</t>
  </si>
  <si>
    <r>
      <rPr>
        <sz val="11"/>
        <color theme="1"/>
        <rFont val="Noto Sans CJK SC"/>
        <family val="2"/>
      </rPr>
      <t xml:space="preserve">郑州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航空港</t>
    </r>
  </si>
  <si>
    <r>
      <rPr>
        <sz val="11"/>
        <color theme="1"/>
        <rFont val="Noto Sans CJK SC"/>
        <family val="2"/>
      </rPr>
      <t xml:space="preserve">豫政〔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〕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号等</t>
    </r>
  </si>
  <si>
    <t xml:space="preserve">https://zzrs.zhengzhou.gov.cn/jddf/9871921.jhtml</t>
  </si>
  <si>
    <r>
      <rPr>
        <sz val="11"/>
        <color theme="1"/>
        <rFont val="Noto Sans CJK SC"/>
        <family val="2"/>
      </rPr>
      <t xml:space="preserve">时薪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返费（新闻）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</si>
  <si>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21–22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月底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时，返费</t>
    </r>
    <r>
      <rPr>
        <sz val="11"/>
        <color theme="1"/>
        <rFont val="Calibri"/>
        <family val="2"/>
        <charset val="1"/>
      </rPr>
      <t xml:space="preserve">&gt;8,000</t>
    </r>
    <r>
      <rPr>
        <sz val="11"/>
        <color theme="1"/>
        <rFont val="Noto Sans CJK SC"/>
        <family val="2"/>
      </rPr>
      <t xml:space="preserve">元</t>
    </r>
  </si>
  <si>
    <t xml:space="preserve">2024</t>
  </si>
  <si>
    <t xml:space="preserve">财新</t>
  </si>
  <si>
    <t xml:space="preserve">https://m.caixin.com/m/2024-08-13/102226053.html</t>
  </si>
  <si>
    <t xml:space="preserve">高峰期用工</t>
  </si>
  <si>
    <r>
      <rPr>
        <sz val="11"/>
        <color theme="1"/>
        <rFont val="Calibri"/>
        <family val="2"/>
        <charset val="1"/>
      </rPr>
      <t xml:space="preserve">15–20</t>
    </r>
    <r>
      <rPr>
        <sz val="11"/>
        <color theme="1"/>
        <rFont val="Noto Sans CJK SC"/>
        <family val="2"/>
      </rPr>
      <t xml:space="preserve">万人</t>
    </r>
  </si>
  <si>
    <t xml:space="preserve">2025</t>
  </si>
  <si>
    <t xml:space="preserve">CLW 2025</t>
  </si>
  <si>
    <t xml:space="preserve">https://chinalaborwatch.org/wp-content/uploads/2025/09/Foxconn-Report-2025-25-sep.pdf</t>
  </si>
  <si>
    <r>
      <rPr>
        <sz val="11"/>
        <color theme="1"/>
        <rFont val="Noto Sans CJK SC"/>
        <family val="2"/>
      </rPr>
      <t xml:space="preserve">调查期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3–9</t>
    </r>
    <r>
      <rPr>
        <sz val="11"/>
        <color theme="1"/>
        <rFont val="Noto Sans CJK SC"/>
        <family val="2"/>
      </rPr>
      <t xml:space="preserve">月</t>
    </r>
  </si>
  <si>
    <t xml:space="preserve">&gt;50%</t>
  </si>
  <si>
    <r>
      <rPr>
        <sz val="11"/>
        <color theme="1"/>
        <rFont val="Noto Sans CJK SC"/>
        <family val="2"/>
      </rPr>
      <t xml:space="preserve">法定上限</t>
    </r>
    <r>
      <rPr>
        <sz val="11"/>
        <color theme="1"/>
        <rFont val="Calibri"/>
        <family val="2"/>
        <charset val="1"/>
      </rPr>
      <t xml:space="preserve">10%</t>
    </r>
  </si>
  <si>
    <t xml:space="preserve">派遣小时工时薪</t>
  </si>
  <si>
    <r>
      <rPr>
        <sz val="11"/>
        <color theme="1"/>
        <rFont val="Calibri"/>
        <family val="2"/>
        <charset val="1"/>
      </rPr>
      <t xml:space="preserve">25–28</t>
    </r>
    <r>
      <rPr>
        <sz val="11"/>
        <color theme="1"/>
        <rFont val="Noto Sans CJK SC"/>
        <family val="2"/>
      </rPr>
      <t xml:space="preserve">元（底薪部分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元）</t>
    </r>
  </si>
  <si>
    <t xml:space="preserve">CLW 2025 p.15</t>
  </si>
  <si>
    <t xml:space="preserve">正式工底薪</t>
  </si>
  <si>
    <r>
      <rPr>
        <sz val="11"/>
        <color theme="1"/>
        <rFont val="Noto Sans CJK SC"/>
        <family val="2"/>
      </rPr>
      <t xml:space="preserve">普工</t>
    </r>
    <r>
      <rPr>
        <sz val="11"/>
        <color theme="1"/>
        <rFont val="Calibri"/>
        <family val="2"/>
        <charset val="1"/>
      </rPr>
      <t xml:space="preserve">2,100–2,400</t>
    </r>
    <r>
      <rPr>
        <sz val="11"/>
        <color theme="1"/>
        <rFont val="Noto Sans CJK SC"/>
        <family val="2"/>
      </rPr>
      <t xml:space="preserve">元；技术工</t>
    </r>
    <r>
      <rPr>
        <sz val="11"/>
        <color theme="1"/>
        <rFont val="Calibri"/>
        <family val="2"/>
        <charset val="1"/>
      </rPr>
      <t xml:space="preserve">2,400–3,000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+500</t>
    </r>
    <r>
      <rPr>
        <sz val="11"/>
        <color theme="1"/>
        <rFont val="Noto Sans CJK SC"/>
        <family val="2"/>
      </rPr>
      <t xml:space="preserve">元</t>
    </r>
  </si>
  <si>
    <t xml:space="preserve">学生工工资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</si>
  <si>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时；月收入略高于</t>
    </r>
    <r>
      <rPr>
        <sz val="11"/>
        <color theme="1"/>
        <rFont val="Calibri"/>
        <family val="2"/>
        <charset val="1"/>
      </rPr>
      <t xml:space="preserve">3,000</t>
    </r>
    <r>
      <rPr>
        <sz val="11"/>
        <color theme="1"/>
        <rFont val="Noto Sans CJK SC"/>
        <family val="2"/>
      </rPr>
      <t xml:space="preserve">元</t>
    </r>
  </si>
  <si>
    <t xml:space="preserve">月加班时长</t>
  </si>
  <si>
    <r>
      <rPr>
        <sz val="11"/>
        <color theme="1"/>
        <rFont val="Noto Sans CJK SC"/>
        <family val="2"/>
      </rPr>
      <t xml:space="preserve">旺季</t>
    </r>
    <r>
      <rPr>
        <sz val="11"/>
        <color theme="1"/>
        <rFont val="Calibri"/>
        <family val="2"/>
        <charset val="1"/>
      </rPr>
      <t xml:space="preserve">65–130</t>
    </r>
    <r>
      <rPr>
        <sz val="11"/>
        <color theme="1"/>
        <rFont val="Noto Sans CJK SC"/>
        <family val="2"/>
      </rPr>
      <t xml:space="preserve">小时；淡季</t>
    </r>
    <r>
      <rPr>
        <sz val="11"/>
        <color theme="1"/>
        <rFont val="Calibri"/>
        <family val="2"/>
        <charset val="1"/>
      </rPr>
      <t xml:space="preserve">52–84</t>
    </r>
    <r>
      <rPr>
        <sz val="11"/>
        <color theme="1"/>
        <rFont val="Noto Sans CJK SC"/>
        <family val="2"/>
      </rPr>
      <t xml:space="preserve">小时</t>
    </r>
  </si>
  <si>
    <t xml:space="preserve">CLW 2025 p.18</t>
  </si>
  <si>
    <r>
      <rPr>
        <sz val="11"/>
        <color theme="1"/>
        <rFont val="Noto Sans CJK SC"/>
        <family val="2"/>
      </rPr>
      <t xml:space="preserve">法定上限</t>
    </r>
    <r>
      <rPr>
        <sz val="11"/>
        <color theme="1"/>
        <rFont val="Calibri"/>
        <family val="2"/>
        <charset val="1"/>
      </rPr>
      <t xml:space="preserve">36</t>
    </r>
    <r>
      <rPr>
        <sz val="11"/>
        <color theme="1"/>
        <rFont val="Noto Sans CJK SC"/>
        <family val="2"/>
      </rPr>
      <t xml:space="preserve">小时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</si>
  <si>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4,800</t>
    </r>
    <r>
      <rPr>
        <sz val="11"/>
        <color theme="1"/>
        <rFont val="Noto Sans CJK SC"/>
        <family val="2"/>
      </rPr>
      <t xml:space="preserve">元；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</t>
    </r>
    <r>
      <rPr>
        <sz val="11"/>
        <color theme="1"/>
        <rFont val="Calibri"/>
        <family val="2"/>
        <charset val="1"/>
      </rPr>
      <t xml:space="preserve">9,800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</si>
  <si>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旺季时薪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返费（新闻）</t>
    </r>
  </si>
  <si>
    <r>
      <rPr>
        <sz val="11"/>
        <color theme="1"/>
        <rFont val="Noto Sans CJK SC"/>
        <family val="2"/>
      </rPr>
      <t xml:space="preserve">时薪最高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元；返费最高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元；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个月收入约</t>
    </r>
    <r>
      <rPr>
        <sz val="11"/>
        <color theme="1"/>
        <rFont val="Calibri"/>
        <family val="2"/>
        <charset val="1"/>
      </rPr>
      <t xml:space="preserve">1.9–2.3</t>
    </r>
    <r>
      <rPr>
        <sz val="11"/>
        <color theme="1"/>
        <rFont val="Noto Sans CJK SC"/>
        <family val="2"/>
      </rPr>
      <t xml:space="preserve">万元</t>
    </r>
  </si>
  <si>
    <t xml:space="preserve">新浪财经（转顶端新闻）</t>
  </si>
  <si>
    <t xml:space="preserve">https://finance.sina.cn/2025-08-20/detail-infmrhsc1760898.d.html?vt=4</t>
  </si>
  <si>
    <r>
      <rPr>
        <sz val="11"/>
        <color theme="1"/>
        <rFont val="Calibri"/>
        <family val="2"/>
        <charset val="1"/>
      </rPr>
      <t xml:space="preserve">&gt;95%</t>
    </r>
    <r>
      <rPr>
        <sz val="11"/>
        <color theme="1"/>
        <rFont val="Noto Sans CJK SC"/>
        <family val="2"/>
      </rPr>
      <t xml:space="preserve">工人来自河南</t>
    </r>
  </si>
  <si>
    <t xml:space="preserve">用工构成</t>
  </si>
  <si>
    <r>
      <rPr>
        <sz val="11"/>
        <color theme="1"/>
        <rFont val="Noto Sans CJK SC"/>
        <family val="2"/>
      </rPr>
      <t xml:space="preserve">总用工</t>
    </r>
    <r>
      <rPr>
        <sz val="11"/>
        <color theme="1"/>
        <rFont val="Calibri"/>
        <family val="2"/>
        <charset val="1"/>
      </rPr>
      <t xml:space="preserve">15–20</t>
    </r>
    <r>
      <rPr>
        <sz val="11"/>
        <color theme="1"/>
        <rFont val="Noto Sans CJK SC"/>
        <family val="2"/>
      </rPr>
      <t xml:space="preserve">万；正式工约</t>
    </r>
    <r>
      <rPr>
        <sz val="11"/>
        <color theme="1"/>
        <rFont val="Calibri"/>
        <family val="2"/>
        <charset val="1"/>
      </rPr>
      <t xml:space="preserve">6–8</t>
    </r>
    <r>
      <rPr>
        <sz val="11"/>
        <color theme="1"/>
        <rFont val="Noto Sans CJK SC"/>
        <family val="2"/>
      </rPr>
      <t xml:space="preserve">万；派遣工约</t>
    </r>
    <r>
      <rPr>
        <sz val="11"/>
        <color theme="1"/>
        <rFont val="Calibri"/>
        <family val="2"/>
        <charset val="1"/>
      </rPr>
      <t xml:space="preserve">8–11</t>
    </r>
    <r>
      <rPr>
        <sz val="11"/>
        <color theme="1"/>
        <rFont val="Noto Sans CJK SC"/>
        <family val="2"/>
      </rPr>
      <t xml:space="preserve">万；学生工遍布各车间</t>
    </r>
  </si>
  <si>
    <t xml:space="preserve">CLW 2025 p.8</t>
  </si>
  <si>
    <r>
      <rPr>
        <sz val="11"/>
        <color theme="1"/>
        <rFont val="Noto Sans CJK SC"/>
        <family val="2"/>
      </rPr>
      <t xml:space="preserve">派遣工至少占</t>
    </r>
    <r>
      <rPr>
        <sz val="11"/>
        <color theme="1"/>
        <rFont val="Calibri"/>
        <family val="2"/>
        <charset val="1"/>
      </rPr>
      <t xml:space="preserve">50%</t>
    </r>
  </si>
  <si>
    <t xml:space="preserve">调查样本</t>
  </si>
  <si>
    <r>
      <rPr>
        <sz val="11"/>
        <color theme="1"/>
        <rFont val="Noto Sans CJK SC"/>
        <family val="2"/>
      </rPr>
      <t xml:space="preserve">访谈</t>
    </r>
    <r>
      <rPr>
        <sz val="11"/>
        <color theme="1"/>
        <rFont val="Calibri"/>
        <family val="2"/>
        <charset val="1"/>
      </rPr>
      <t xml:space="preserve">102</t>
    </r>
    <r>
      <rPr>
        <sz val="11"/>
        <color theme="1"/>
        <rFont val="Noto Sans CJK SC"/>
        <family val="2"/>
      </rPr>
      <t xml:space="preserve">人（正式工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：派遣工</t>
    </r>
    <r>
      <rPr>
        <sz val="11"/>
        <color theme="1"/>
        <rFont val="Calibri"/>
        <family val="2"/>
        <charset val="1"/>
      </rPr>
      <t xml:space="preserve">51</t>
    </r>
    <r>
      <rPr>
        <sz val="11"/>
        <color theme="1"/>
        <rFont val="Noto Sans CJK SC"/>
        <family val="2"/>
      </rPr>
      <t xml:space="preserve">：学生工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）；调查期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3–9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</si>
  <si>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CLW</t>
    </r>
    <r>
      <rPr>
        <sz val="11"/>
        <color theme="1"/>
        <rFont val="Noto Sans CJK SC"/>
        <family val="2"/>
      </rPr>
      <t xml:space="preserve">数据来自卧底调查和访谈，不是全厂统计</t>
    </r>
  </si>
  <si>
    <t xml:space="preserve">合作派遣公司</t>
  </si>
  <si>
    <r>
      <rPr>
        <sz val="11"/>
        <color theme="1"/>
        <rFont val="Noto Sans CJK SC"/>
        <family val="2"/>
      </rPr>
      <t xml:space="preserve">至少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家</t>
    </r>
  </si>
  <si>
    <t xml:space="preserve">CLW 2025 p.10</t>
  </si>
  <si>
    <t xml:space="preserve">派遣工入职时二选一</t>
  </si>
  <si>
    <t xml:space="preserve">小时工型：签《工资差价确认书》；月薪＋返费型：签《返费协议》</t>
  </si>
  <si>
    <t xml:space="preserve">CLW 2025 p.13</t>
  </si>
  <si>
    <t xml:space="preserve">正式工月收入（含加班）</t>
  </si>
  <si>
    <r>
      <rPr>
        <sz val="11"/>
        <color theme="1"/>
        <rFont val="Noto Sans CJK SC"/>
        <family val="2"/>
      </rPr>
      <t xml:space="preserve">技术工约</t>
    </r>
    <r>
      <rPr>
        <sz val="11"/>
        <color theme="1"/>
        <rFont val="Calibri"/>
        <family val="2"/>
        <charset val="1"/>
      </rPr>
      <t xml:space="preserve">3,500–5,100</t>
    </r>
    <r>
      <rPr>
        <sz val="11"/>
        <color theme="1"/>
        <rFont val="Noto Sans CJK SC"/>
        <family val="2"/>
      </rPr>
      <t xml:space="preserve">元；普工约</t>
    </r>
    <r>
      <rPr>
        <sz val="11"/>
        <color theme="1"/>
        <rFont val="Calibri"/>
        <family val="2"/>
        <charset val="1"/>
      </rPr>
      <t xml:space="preserve">3,000–3,500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</si>
  <si>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底薪：普工</t>
    </r>
    <r>
      <rPr>
        <sz val="11"/>
        <color theme="1"/>
        <rFont val="Calibri"/>
        <family val="2"/>
        <charset val="1"/>
      </rPr>
      <t xml:space="preserve">2,100–2,400</t>
    </r>
    <r>
      <rPr>
        <sz val="11"/>
        <color theme="1"/>
        <rFont val="Noto Sans CJK SC"/>
        <family val="2"/>
      </rPr>
      <t xml:space="preserve">元，技术工</t>
    </r>
    <r>
      <rPr>
        <sz val="11"/>
        <color theme="1"/>
        <rFont val="Calibri"/>
        <family val="2"/>
        <charset val="1"/>
      </rPr>
      <t xml:space="preserve">2,400–3,000</t>
    </r>
    <r>
      <rPr>
        <sz val="11"/>
        <color theme="1"/>
        <rFont val="Noto Sans CJK SC"/>
        <family val="2"/>
      </rPr>
      <t xml:space="preserve">元另加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元技能补贴</t>
    </r>
  </si>
  <si>
    <t xml:space="preserve">正式工社保</t>
  </si>
  <si>
    <r>
      <rPr>
        <sz val="11"/>
        <color theme="1"/>
        <rFont val="Noto Sans CJK SC"/>
        <family val="2"/>
      </rPr>
      <t xml:space="preserve">个人每月缴</t>
    </r>
    <r>
      <rPr>
        <sz val="11"/>
        <color theme="1"/>
        <rFont val="Calibri"/>
        <family val="2"/>
        <charset val="1"/>
      </rPr>
      <t xml:space="preserve">348</t>
    </r>
    <r>
      <rPr>
        <sz val="11"/>
        <color theme="1"/>
        <rFont val="Noto Sans CJK SC"/>
        <family val="2"/>
      </rPr>
      <t xml:space="preserve">元，单位另缴</t>
    </r>
  </si>
  <si>
    <t xml:space="preserve">返费型派遣工</t>
  </si>
  <si>
    <r>
      <rPr>
        <sz val="11"/>
        <color theme="1"/>
        <rFont val="Noto Sans CJK SC"/>
        <family val="2"/>
      </rPr>
      <t xml:space="preserve">底薪约</t>
    </r>
    <r>
      <rPr>
        <sz val="11"/>
        <color theme="1"/>
        <rFont val="Calibri"/>
        <family val="2"/>
        <charset val="1"/>
      </rPr>
      <t xml:space="preserve">2,100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月；返费</t>
    </r>
    <r>
      <rPr>
        <sz val="11"/>
        <color theme="1"/>
        <rFont val="Calibri"/>
        <family val="2"/>
        <charset val="1"/>
      </rPr>
      <t xml:space="preserve">4,800–9,800</t>
    </r>
    <r>
      <rPr>
        <sz val="11"/>
        <color theme="1"/>
        <rFont val="Noto Sans CJK SC"/>
        <family val="2"/>
      </rPr>
      <t xml:space="preserve">元，连续在职满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天才发，提前离职全部作废；无社保</t>
    </r>
  </si>
  <si>
    <r>
      <rPr>
        <sz val="11"/>
        <color theme="1"/>
        <rFont val="Noto Sans CJK SC"/>
        <family val="2"/>
      </rPr>
      <t xml:space="preserve">工人一般要待</t>
    </r>
    <r>
      <rPr>
        <sz val="11"/>
        <color theme="1"/>
        <rFont val="Calibri"/>
        <family val="2"/>
        <charset val="1"/>
      </rPr>
      <t xml:space="preserve">3–4</t>
    </r>
    <r>
      <rPr>
        <sz val="11"/>
        <color theme="1"/>
        <rFont val="Noto Sans CJK SC"/>
        <family val="2"/>
      </rPr>
      <t xml:space="preserve">个月才能拿全</t>
    </r>
  </si>
  <si>
    <t xml:space="preserve">小时工型派遣工工资结构</t>
  </si>
  <si>
    <r>
      <rPr>
        <sz val="11"/>
        <color theme="1"/>
        <rFont val="Calibri"/>
        <family val="2"/>
        <charset val="1"/>
      </rPr>
      <t xml:space="preserve">25–28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 </t>
    </r>
    <r>
      <rPr>
        <sz val="11"/>
        <color theme="1"/>
        <rFont val="Calibri"/>
        <family val="2"/>
        <charset val="1"/>
      </rPr>
      <t xml:space="preserve">= 12</t>
    </r>
    <r>
      <rPr>
        <sz val="11"/>
        <color theme="1"/>
        <rFont val="Noto Sans CJK SC"/>
        <family val="2"/>
      </rPr>
      <t xml:space="preserve">元基本时薪（按月发）＋约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元“差价”（推迟到下月底发，须当月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号时仍在职）；加班不另算倍数；无社保</t>
    </r>
  </si>
  <si>
    <t xml:space="preserve">计算见“收入计算器”工作表</t>
  </si>
  <si>
    <t xml:space="preserve">小时工提前离职损失</t>
  </si>
  <si>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号前离职，损失前两个月的差价，约</t>
    </r>
    <r>
      <rPr>
        <sz val="11"/>
        <color theme="1"/>
        <rFont val="Calibri"/>
        <family val="2"/>
        <charset val="1"/>
      </rPr>
      <t xml:space="preserve">5,200–6,000</t>
    </r>
    <r>
      <rPr>
        <sz val="11"/>
        <color theme="1"/>
        <rFont val="Noto Sans CJK SC"/>
        <family val="2"/>
      </rPr>
      <t xml:space="preserve">元；离职者实得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时，低于郑州最低工资</t>
    </r>
    <r>
      <rPr>
        <sz val="11"/>
        <color theme="1"/>
        <rFont val="Calibri"/>
        <family val="2"/>
        <charset val="1"/>
      </rPr>
      <t xml:space="preserve">20.6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</t>
    </r>
  </si>
  <si>
    <t xml:space="preserve">CLW 2025 p.15–16</t>
  </si>
  <si>
    <t xml:space="preserve">学生工</t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</si>
  <si>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时；加班按</t>
    </r>
    <r>
      <rPr>
        <sz val="11"/>
        <color theme="1"/>
        <rFont val="Calibri"/>
        <family val="2"/>
        <charset val="1"/>
      </rPr>
      <t xml:space="preserve">1.5/2/3</t>
    </r>
    <r>
      <rPr>
        <sz val="11"/>
        <color theme="1"/>
        <rFont val="Noto Sans CJK SC"/>
        <family val="2"/>
      </rPr>
      <t xml:space="preserve">倍；无返费、无差价、无社保、无病假</t>
    </r>
  </si>
  <si>
    <t xml:space="preserve">CLW 2025 p.16–17</t>
  </si>
  <si>
    <r>
      <rPr>
        <sz val="11"/>
        <color theme="1"/>
        <rFont val="Noto Sans CJK SC"/>
        <family val="2"/>
      </rPr>
      <t xml:space="preserve">多为</t>
    </r>
    <r>
      <rPr>
        <sz val="11"/>
        <color theme="1"/>
        <rFont val="Calibri"/>
        <family val="2"/>
        <charset val="1"/>
      </rPr>
      <t xml:space="preserve">18–21</t>
    </r>
    <r>
      <rPr>
        <sz val="11"/>
        <color theme="1"/>
        <rFont val="Noto Sans CJK SC"/>
        <family val="2"/>
      </rPr>
      <t xml:space="preserve">岁的职校学生</t>
    </r>
  </si>
  <si>
    <t xml:space="preserve">班次与每日工时</t>
  </si>
  <si>
    <r>
      <rPr>
        <sz val="11"/>
        <color theme="1"/>
        <rFont val="Noto Sans CJK SC"/>
        <family val="2"/>
      </rPr>
      <t xml:space="preserve">两班倒，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小时运转；白班</t>
    </r>
    <r>
      <rPr>
        <sz val="11"/>
        <color theme="1"/>
        <rFont val="Calibri"/>
        <family val="2"/>
        <charset val="1"/>
      </rPr>
      <t xml:space="preserve">8:00–17:00</t>
    </r>
    <r>
      <rPr>
        <sz val="11"/>
        <color theme="1"/>
        <rFont val="Noto Sans CJK SC"/>
        <family val="2"/>
      </rPr>
      <t xml:space="preserve">（午休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小时不计薪），加班</t>
    </r>
    <r>
      <rPr>
        <sz val="11"/>
        <color theme="1"/>
        <rFont val="Calibri"/>
        <family val="2"/>
        <charset val="1"/>
      </rPr>
      <t xml:space="preserve">18:00–20:00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17:00–18:00</t>
    </r>
    <r>
      <rPr>
        <sz val="11"/>
        <color theme="1"/>
        <rFont val="Noto Sans CJK SC"/>
        <family val="2"/>
      </rPr>
      <t xml:space="preserve">休息不计薪）；部分部门班前、班后各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分钟会议不计薪</t>
    </r>
  </si>
  <si>
    <t xml:space="preserve">打卡记录计工时，一般准确</t>
  </si>
  <si>
    <t xml:space="preserve">每周、每月工作天数</t>
  </si>
  <si>
    <r>
      <rPr>
        <sz val="11"/>
        <color theme="1"/>
        <rFont val="Noto Sans CJK SC"/>
        <family val="2"/>
      </rPr>
      <t xml:space="preserve">每周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天；每月</t>
    </r>
    <r>
      <rPr>
        <sz val="11"/>
        <color theme="1"/>
        <rFont val="Calibri"/>
        <family val="2"/>
        <charset val="1"/>
      </rPr>
      <t xml:space="preserve">25–26</t>
    </r>
    <r>
      <rPr>
        <sz val="11"/>
        <color theme="1"/>
        <rFont val="Noto Sans CJK SC"/>
        <family val="2"/>
      </rPr>
      <t xml:space="preserve">天；有人连续上班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天</t>
    </r>
  </si>
  <si>
    <t xml:space="preserve">周工时</t>
  </si>
  <si>
    <r>
      <rPr>
        <sz val="11"/>
        <color theme="1"/>
        <rFont val="Noto Sans CJK SC"/>
        <family val="2"/>
      </rPr>
      <t xml:space="preserve">多数约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小时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周，部分达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小时</t>
    </r>
  </si>
  <si>
    <t xml:space="preserve">CLW 2025 p.5</t>
  </si>
  <si>
    <t xml:space="preserve">旺季极端工时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</si>
  <si>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月至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月中旬，部分倒班工人每月超过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小时（加班约</t>
    </r>
    <r>
      <rPr>
        <sz val="11"/>
        <color theme="1"/>
        <rFont val="Calibri"/>
        <family val="2"/>
        <charset val="1"/>
      </rPr>
      <t xml:space="preserve">130</t>
    </r>
    <r>
      <rPr>
        <sz val="11"/>
        <color theme="1"/>
        <rFont val="Noto Sans CJK SC"/>
        <family val="2"/>
      </rPr>
      <t xml:space="preserve">小时）</t>
    </r>
  </si>
  <si>
    <t xml:space="preserve">夜班</t>
  </si>
  <si>
    <r>
      <rPr>
        <sz val="11"/>
        <color theme="1"/>
        <rFont val="Noto Sans CJK SC"/>
        <family val="2"/>
      </rPr>
      <t xml:space="preserve">工作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小时，需在车间待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小时</t>
    </r>
  </si>
  <si>
    <r>
      <rPr>
        <sz val="11"/>
        <color theme="1"/>
        <rFont val="Calibri"/>
        <family val="2"/>
        <charset val="1"/>
      </rPr>
      <t xml:space="preserve">CLW 2025 p.27</t>
    </r>
    <r>
      <rPr>
        <sz val="11"/>
        <color theme="1"/>
        <rFont val="Noto Sans CJK SC"/>
        <family val="2"/>
      </rPr>
      <t xml:space="preserve">（工人个案）</t>
    </r>
  </si>
  <si>
    <t xml:space="preserve">拒绝加班的后果</t>
  </si>
  <si>
    <t xml:space="preserve">加班提前一天排，偶尔可拒绝；经常拒绝会被标为“不配合”，之后分不到加班</t>
  </si>
  <si>
    <t xml:space="preserve">请假制度</t>
  </si>
  <si>
    <t xml:space="preserve">派遣工的请假系统没有病假选项，只能请无薪事假，旺季很少批准；正式工可凭病历请部分带薪病假；学生工无病假</t>
  </si>
  <si>
    <t xml:space="preserve">CLW 2025 p.17</t>
  </si>
  <si>
    <t xml:space="preserve">自动离职规则</t>
  </si>
  <si>
    <r>
      <rPr>
        <sz val="11"/>
        <color theme="1"/>
        <rFont val="Noto Sans CJK SC"/>
        <family val="2"/>
      </rPr>
      <t xml:space="preserve">连续旷工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天或累计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天视为“自离”</t>
    </r>
  </si>
  <si>
    <t xml:space="preserve">CLW 2025 p.12</t>
  </si>
  <si>
    <t xml:space="preserve">与判决书中派遣合同的退回条款一致</t>
  </si>
  <si>
    <t xml:space="preserve">饭费</t>
  </si>
  <si>
    <r>
      <rPr>
        <sz val="11"/>
        <color theme="1"/>
        <rFont val="Noto Sans CJK SC"/>
        <family val="2"/>
      </rPr>
      <t xml:space="preserve">饭卡每月预存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元，从工资扣；每餐</t>
    </r>
    <r>
      <rPr>
        <sz val="11"/>
        <color theme="1"/>
        <rFont val="Calibri"/>
        <family val="2"/>
        <charset val="1"/>
      </rPr>
      <t xml:space="preserve">7–16</t>
    </r>
    <r>
      <rPr>
        <sz val="11"/>
        <color theme="1"/>
        <rFont val="Noto Sans CJK SC"/>
        <family val="2"/>
      </rPr>
      <t xml:space="preserve">元</t>
    </r>
  </si>
  <si>
    <t xml:space="preserve">CLW 2025 p.19</t>
  </si>
  <si>
    <t xml:space="preserve">当地租房</t>
  </si>
  <si>
    <r>
      <rPr>
        <sz val="11"/>
        <color theme="1"/>
        <rFont val="Noto Sans CJK SC"/>
        <family val="2"/>
      </rPr>
      <t xml:space="preserve">一居室</t>
    </r>
    <r>
      <rPr>
        <sz val="11"/>
        <color theme="1"/>
        <rFont val="Calibri"/>
        <family val="2"/>
        <charset val="1"/>
      </rPr>
      <t xml:space="preserve">1,800–2,700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</t>
    </r>
  </si>
  <si>
    <t xml:space="preserve">郑州</t>
  </si>
  <si>
    <t xml:space="preserve">CLW 2025 p.16</t>
  </si>
  <si>
    <t xml:space="preserve">用工规模季节性</t>
  </si>
  <si>
    <r>
      <rPr>
        <sz val="11"/>
        <color theme="1"/>
        <rFont val="Noto Sans CJK SC"/>
        <family val="2"/>
      </rPr>
      <t xml:space="preserve">春季淡季约</t>
    </r>
    <r>
      <rPr>
        <sz val="11"/>
        <color theme="1"/>
        <rFont val="Calibri"/>
        <family val="2"/>
        <charset val="1"/>
      </rPr>
      <t xml:space="preserve">6–7</t>
    </r>
    <r>
      <rPr>
        <sz val="11"/>
        <color theme="1"/>
        <rFont val="Noto Sans CJK SC"/>
        <family val="2"/>
      </rPr>
      <t xml:space="preserve">万人；夏秋旺季超过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万人</t>
    </r>
  </si>
  <si>
    <t xml:space="preserve">2022–2023</t>
  </si>
  <si>
    <t xml:space="preserve">CLW 2023 p.48</t>
  </si>
  <si>
    <r>
      <rPr>
        <sz val="11"/>
        <color theme="1"/>
        <rFont val="Calibri"/>
        <family val="2"/>
        <charset val="1"/>
      </rPr>
      <t xml:space="preserve">China Labor Watch</t>
    </r>
    <r>
      <rPr>
        <sz val="11"/>
        <color theme="1"/>
        <rFont val="Noto Sans CJK SC"/>
        <family val="2"/>
      </rPr>
      <t xml:space="preserve">《</t>
    </r>
    <r>
      <rPr>
        <sz val="11"/>
        <color theme="1"/>
        <rFont val="Calibri"/>
        <family val="2"/>
        <charset val="1"/>
      </rPr>
      <t xml:space="preserve">Labor Conditions in China’s Consumer Electronics Sector</t>
    </r>
    <r>
      <rPr>
        <sz val="11"/>
        <color theme="1"/>
        <rFont val="Noto Sans CJK SC"/>
        <family val="2"/>
      </rPr>
      <t xml:space="preserve">》</t>
    </r>
    <r>
      <rPr>
        <sz val="11"/>
        <color theme="1"/>
        <rFont val="Calibri"/>
        <family val="2"/>
        <charset val="1"/>
      </rPr>
      <t xml:space="preserve">2023-10</t>
    </r>
    <r>
      <rPr>
        <sz val="11"/>
        <color theme="1"/>
        <rFont val="Noto Sans CJK SC"/>
        <family val="2"/>
      </rPr>
      <t xml:space="preserve">（用户提供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）</t>
    </r>
  </si>
  <si>
    <t xml:space="preserve">招工方式变化</t>
  </si>
  <si>
    <r>
      <rPr>
        <sz val="11"/>
        <color theme="1"/>
        <rFont val="Calibri"/>
        <family val="2"/>
        <charset val="1"/>
      </rPr>
      <t xml:space="preserve">2016</t>
    </r>
    <r>
      <rPr>
        <sz val="11"/>
        <color theme="1"/>
        <rFont val="Noto Sans CJK SC"/>
        <family val="2"/>
      </rPr>
      <t xml:space="preserve">年以前新工人多由工厂直招，现在多数由派遣公司输送</t>
    </r>
  </si>
  <si>
    <t xml:space="preserve">2016–2023</t>
  </si>
  <si>
    <t xml:space="preserve">CLW 2023 p.49</t>
  </si>
  <si>
    <t xml:space="preserve">招聘年龄与返费差别</t>
  </si>
  <si>
    <r>
      <rPr>
        <sz val="11"/>
        <color theme="1"/>
        <rFont val="Noto Sans CJK SC"/>
        <family val="2"/>
      </rPr>
      <t xml:space="preserve">招聘年龄一般</t>
    </r>
    <r>
      <rPr>
        <sz val="11"/>
        <color theme="1"/>
        <rFont val="Calibri"/>
        <family val="2"/>
        <charset val="1"/>
      </rPr>
      <t xml:space="preserve">20–48</t>
    </r>
    <r>
      <rPr>
        <sz val="11"/>
        <color theme="1"/>
        <rFont val="Noto Sans CJK SC"/>
        <family val="2"/>
      </rPr>
      <t xml:space="preserve">岁（旺季放宽）；同样在职天数，</t>
    </r>
    <r>
      <rPr>
        <sz val="11"/>
        <color theme="1"/>
        <rFont val="Calibri"/>
        <family val="2"/>
        <charset val="1"/>
      </rPr>
      <t xml:space="preserve">20–38</t>
    </r>
    <r>
      <rPr>
        <sz val="11"/>
        <color theme="1"/>
        <rFont val="Noto Sans CJK SC"/>
        <family val="2"/>
      </rPr>
      <t xml:space="preserve">岁比</t>
    </r>
    <r>
      <rPr>
        <sz val="11"/>
        <color theme="1"/>
        <rFont val="Calibri"/>
        <family val="2"/>
        <charset val="1"/>
      </rPr>
      <t xml:space="preserve">39–45</t>
    </r>
    <r>
      <rPr>
        <sz val="11"/>
        <color theme="1"/>
        <rFont val="Noto Sans CJK SC"/>
        <family val="2"/>
      </rPr>
      <t xml:space="preserve">岁返费高</t>
    </r>
  </si>
  <si>
    <t xml:space="preserve">CLW 2023 p.48–49</t>
  </si>
  <si>
    <t xml:space="preserve">内部推荐奖励</t>
  </si>
  <si>
    <r>
      <rPr>
        <sz val="11"/>
        <color theme="1"/>
        <rFont val="Noto Sans CJK SC"/>
        <family val="2"/>
      </rPr>
      <t xml:space="preserve">推荐一人约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元，须被推荐人在职满一定时间（如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个月）</t>
    </r>
  </si>
  <si>
    <t xml:space="preserve">2022</t>
  </si>
  <si>
    <r>
      <rPr>
        <sz val="11"/>
        <color theme="1"/>
        <rFont val="Calibri"/>
        <family val="2"/>
        <charset val="1"/>
      </rPr>
      <t xml:space="preserve">CLW 2023 p.49 </t>
    </r>
    <r>
      <rPr>
        <sz val="11"/>
        <color theme="1"/>
        <rFont val="Noto Sans CJK SC"/>
        <family val="2"/>
      </rPr>
      <t xml:space="preserve">注</t>
    </r>
    <r>
      <rPr>
        <sz val="11"/>
        <color theme="1"/>
        <rFont val="Calibri"/>
        <family val="2"/>
        <charset val="1"/>
      </rPr>
      <t xml:space="preserve">66</t>
    </r>
  </si>
  <si>
    <t xml:space="preserve">小时工价季节性</t>
  </si>
  <si>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年最低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时（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月），最高</t>
    </r>
    <r>
      <rPr>
        <sz val="11"/>
        <color theme="1"/>
        <rFont val="Calibri"/>
        <family val="2"/>
        <charset val="1"/>
      </rPr>
      <t xml:space="preserve">31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时（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月）；每年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月和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月最高；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年低于</t>
    </r>
    <r>
      <rPr>
        <sz val="11"/>
        <color theme="1"/>
        <rFont val="Calibri"/>
        <family val="2"/>
        <charset val="1"/>
      </rPr>
      <t xml:space="preserve">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年同期</t>
    </r>
  </si>
  <si>
    <t xml:space="preserve">2020–2023</t>
  </si>
  <si>
    <t xml:space="preserve">CLW 2023 p.50</t>
  </si>
  <si>
    <r>
      <rPr>
        <sz val="11"/>
        <color theme="1"/>
        <rFont val="Noto Sans CJK SC"/>
        <family val="2"/>
      </rPr>
      <t xml:space="preserve">依据</t>
    </r>
    <r>
      <rPr>
        <sz val="11"/>
        <color theme="1"/>
        <rFont val="Calibri"/>
        <family val="2"/>
        <charset val="1"/>
      </rPr>
      <t xml:space="preserve">2020–2023</t>
    </r>
    <r>
      <rPr>
        <sz val="11"/>
        <color theme="1"/>
        <rFont val="Noto Sans CJK SC"/>
        <family val="2"/>
      </rPr>
      <t xml:space="preserve">年郑州富士康招募中心的招聘帖</t>
    </r>
  </si>
  <si>
    <t xml:space="preserve">正式工工资结构</t>
  </si>
  <si>
    <r>
      <rPr>
        <sz val="11"/>
        <color theme="1"/>
        <rFont val="Noto Sans CJK SC"/>
        <family val="2"/>
      </rPr>
      <t xml:space="preserve">底薪</t>
    </r>
    <r>
      <rPr>
        <sz val="11"/>
        <color theme="1"/>
        <rFont val="Calibri"/>
        <family val="2"/>
        <charset val="1"/>
      </rPr>
      <t xml:space="preserve">1,900–2,200</t>
    </r>
    <r>
      <rPr>
        <sz val="11"/>
        <color theme="1"/>
        <rFont val="Noto Sans CJK SC"/>
        <family val="2"/>
      </rPr>
      <t xml:space="preserve">元＋加班费（按劳动法）＋津贴；夜班补贴</t>
    </r>
    <r>
      <rPr>
        <sz val="11"/>
        <color theme="1"/>
        <rFont val="Calibri"/>
        <family val="2"/>
        <charset val="1"/>
      </rPr>
      <t xml:space="preserve">8–10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晚；关键岗位补贴</t>
    </r>
    <r>
      <rPr>
        <sz val="11"/>
        <color theme="1"/>
        <rFont val="Calibri"/>
        <family val="2"/>
        <charset val="1"/>
      </rPr>
      <t xml:space="preserve">80–200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月；有社保</t>
    </r>
  </si>
  <si>
    <t xml:space="preserve">2023</t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</si>
  <si>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到</t>
    </r>
    <r>
      <rPr>
        <sz val="11"/>
        <color theme="1"/>
        <rFont val="Calibri"/>
        <family val="2"/>
        <charset val="1"/>
      </rPr>
      <t xml:space="preserve">130</t>
    </r>
    <r>
      <rPr>
        <sz val="11"/>
        <color theme="1"/>
        <rFont val="Noto Sans CJK SC"/>
        <family val="2"/>
      </rPr>
      <t xml:space="preserve">小时以上，随季节变化</t>
    </r>
  </si>
  <si>
    <t xml:space="preserve">派遣合同期限</t>
  </si>
  <si>
    <r>
      <rPr>
        <sz val="11"/>
        <color theme="1"/>
        <rFont val="Noto Sans CJK SC"/>
        <family val="2"/>
      </rPr>
      <t xml:space="preserve">一般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个月；淡季加班减少后多数自行离职，工厂无需支付解约补偿</t>
    </r>
  </si>
  <si>
    <t xml:space="preserve">返费发放条件</t>
  </si>
  <si>
    <t xml:space="preserve">缺勤、请假或拒绝周末“自愿加班”，拿返费的日期往后推，须补够出勤天数</t>
  </si>
  <si>
    <r>
      <rPr>
        <sz val="11"/>
        <color theme="1"/>
        <rFont val="Calibri"/>
        <family val="2"/>
        <charset val="1"/>
      </rPr>
      <t xml:space="preserve">CLW 2023 p.51</t>
    </r>
    <r>
      <rPr>
        <sz val="11"/>
        <color theme="1"/>
        <rFont val="Noto Sans CJK SC"/>
        <family val="2"/>
      </rPr>
      <t xml:space="preserve">（前派遣工访谈）</t>
    </r>
  </si>
  <si>
    <t xml:space="preserve">宿舍</t>
  </si>
  <si>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8–10</t>
    </r>
    <r>
      <rPr>
        <sz val="11"/>
        <color theme="1"/>
        <rFont val="Noto Sans CJK SC"/>
        <family val="2"/>
      </rPr>
      <t xml:space="preserve">人一间（部分改为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人间）</t>
    </r>
  </si>
  <si>
    <t xml:space="preserve">CLW 2023 p.85</t>
  </si>
  <si>
    <t xml:space="preserve">学生假期工</t>
  </si>
  <si>
    <r>
      <rPr>
        <sz val="11"/>
        <color theme="1"/>
        <rFont val="Noto Sans CJK SC"/>
        <family val="2"/>
      </rPr>
      <t xml:space="preserve">春节期间上班发出勤奖</t>
    </r>
    <r>
      <rPr>
        <sz val="11"/>
        <color theme="1"/>
        <rFont val="Calibri"/>
        <family val="2"/>
        <charset val="1"/>
      </rPr>
      <t xml:space="preserve">2,000–2,400</t>
    </r>
    <r>
      <rPr>
        <sz val="11"/>
        <color theme="1"/>
        <rFont val="Noto Sans CJK SC"/>
        <family val="2"/>
      </rPr>
      <t xml:space="preserve">元</t>
    </r>
  </si>
  <si>
    <t xml:space="preserve">CLW 2023 p.51</t>
  </si>
  <si>
    <t xml:space="preserve">派遣合同计薪条款（个案）</t>
  </si>
  <si>
    <r>
      <rPr>
        <sz val="11"/>
        <color theme="1"/>
        <rFont val="Noto Sans CJK SC"/>
        <family val="2"/>
      </rPr>
      <t xml:space="preserve">合同工资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月；入职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天内按“同工同酬＋小时差价”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时计薪（含加班、夜班）；稳岗津贴</t>
    </r>
    <r>
      <rPr>
        <sz val="11"/>
        <color theme="1"/>
        <rFont val="Calibri"/>
        <family val="2"/>
        <charset val="1"/>
      </rPr>
      <t xml:space="preserve">3,000</t>
    </r>
    <r>
      <rPr>
        <sz val="11"/>
        <color theme="1"/>
        <rFont val="Noto Sans CJK SC"/>
        <family val="2"/>
      </rPr>
      <t xml:space="preserve">元（在职满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天）；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月暖心补贴</t>
    </r>
    <r>
      <rPr>
        <sz val="11"/>
        <color theme="1"/>
        <rFont val="Calibri"/>
        <family val="2"/>
        <charset val="1"/>
      </rPr>
      <t xml:space="preserve">3,000</t>
    </r>
    <r>
      <rPr>
        <sz val="11"/>
        <color theme="1"/>
        <rFont val="Noto Sans CJK SC"/>
        <family val="2"/>
      </rPr>
      <t xml:space="preserve">元（出勤满</t>
    </r>
    <r>
      <rPr>
        <sz val="11"/>
        <color theme="1"/>
        <rFont val="Calibri"/>
        <family val="2"/>
        <charset val="1"/>
      </rPr>
      <t xml:space="preserve">26</t>
    </r>
    <r>
      <rPr>
        <sz val="11"/>
        <color theme="1"/>
        <rFont val="Noto Sans CJK SC"/>
        <family val="2"/>
      </rPr>
      <t xml:space="preserve">天）；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月新年大礼包</t>
    </r>
    <r>
      <rPr>
        <sz val="11"/>
        <color theme="1"/>
        <rFont val="Calibri"/>
        <family val="2"/>
        <charset val="1"/>
      </rPr>
      <t xml:space="preserve">6,000</t>
    </r>
    <r>
      <rPr>
        <sz val="11"/>
        <color theme="1"/>
        <rFont val="Noto Sans CJK SC"/>
        <family val="2"/>
      </rPr>
      <t xml:space="preserve">元（出勤满</t>
    </r>
    <r>
      <rPr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Noto Sans CJK SC"/>
        <family val="2"/>
      </rPr>
      <t xml:space="preserve">天）；夜班</t>
    </r>
    <r>
      <rPr>
        <sz val="11"/>
        <color theme="1"/>
        <rFont val="Calibri"/>
        <family val="2"/>
        <charset val="1"/>
      </rPr>
      <t xml:space="preserve">19:30–04:30</t>
    </r>
    <r>
      <rPr>
        <sz val="11"/>
        <color theme="1"/>
        <rFont val="Noto Sans CJK SC"/>
        <family val="2"/>
      </rPr>
      <t xml:space="preserve">；连续旷工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天或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个月内累计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天被退回派遣公司</t>
    </r>
  </si>
  <si>
    <t xml:space="preserve">2022-12</t>
  </si>
  <si>
    <t xml:space="preserve">郑州厂区（派遣公司：河南群英会）</t>
  </si>
  <si>
    <t xml:space="preserve">裁判文书</t>
  </si>
  <si>
    <r>
      <rPr>
        <sz val="11"/>
        <color theme="1"/>
        <rFont val="Calibri"/>
        <family val="2"/>
        <charset val="1"/>
      </rPr>
      <t xml:space="preserve">(2023)</t>
    </r>
    <r>
      <rPr>
        <sz val="11"/>
        <color theme="1"/>
        <rFont val="Noto Sans CJK SC"/>
        <family val="2"/>
      </rPr>
      <t xml:space="preserve">豫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CJK SC"/>
        <family val="2"/>
      </rPr>
      <t xml:space="preserve">民终</t>
    </r>
    <r>
      <rPr>
        <sz val="11"/>
        <color theme="1"/>
        <rFont val="Calibri"/>
        <family val="2"/>
        <charset val="1"/>
      </rPr>
      <t xml:space="preserve">17709</t>
    </r>
    <r>
      <rPr>
        <sz val="11"/>
        <color theme="1"/>
        <rFont val="Noto Sans CJK SC"/>
        <family val="2"/>
      </rPr>
      <t xml:space="preserve">号</t>
    </r>
  </si>
  <si>
    <t xml:space="preserve">https://www.pkulaw.com/read/case/pfnl/08df102e7c10f20628bbd31980f7a1d5a20982e51eb220f2bdfb</t>
  </si>
  <si>
    <t xml:space="preserve">小时工型；劳动者自述未缴社保</t>
  </si>
  <si>
    <t xml:space="preserve">返费条款（个案）</t>
  </si>
  <si>
    <r>
      <rPr>
        <sz val="11"/>
        <color theme="1"/>
        <rFont val="Noto Sans CJK SC"/>
        <family val="2"/>
      </rPr>
      <t xml:space="preserve">合同工资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月；打卡满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天返费</t>
    </r>
    <r>
      <rPr>
        <sz val="11"/>
        <color theme="1"/>
        <rFont val="Calibri"/>
        <family val="2"/>
        <charset val="1"/>
      </rPr>
      <t xml:space="preserve">9,000</t>
    </r>
    <r>
      <rPr>
        <sz val="11"/>
        <color theme="1"/>
        <rFont val="Noto Sans CJK SC"/>
        <family val="2"/>
      </rPr>
      <t xml:space="preserve">元，再满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天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元；约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个月后转为富士康正式工</t>
    </r>
  </si>
  <si>
    <t xml:space="preserve">2020-09</t>
  </si>
  <si>
    <t xml:space="preserve">富士康成都（派遣公司：安徽天造，郑州五大派遣公司之一）</t>
  </si>
  <si>
    <r>
      <rPr>
        <sz val="11"/>
        <color theme="1"/>
        <rFont val="Calibri"/>
        <family val="2"/>
        <charset val="1"/>
      </rPr>
      <t xml:space="preserve">(2021)</t>
    </r>
    <r>
      <rPr>
        <sz val="11"/>
        <color theme="1"/>
        <rFont val="Noto Sans CJK SC"/>
        <family val="2"/>
      </rPr>
      <t xml:space="preserve">川</t>
    </r>
    <r>
      <rPr>
        <sz val="11"/>
        <color theme="1"/>
        <rFont val="Calibri"/>
        <family val="2"/>
        <charset val="1"/>
      </rPr>
      <t xml:space="preserve">0191</t>
    </r>
    <r>
      <rPr>
        <sz val="11"/>
        <color theme="1"/>
        <rFont val="Noto Sans CJK SC"/>
        <family val="2"/>
      </rPr>
      <t xml:space="preserve">民初</t>
    </r>
    <r>
      <rPr>
        <sz val="11"/>
        <color theme="1"/>
        <rFont val="Calibri"/>
        <family val="2"/>
        <charset val="1"/>
      </rPr>
      <t xml:space="preserve">16242</t>
    </r>
    <r>
      <rPr>
        <sz val="11"/>
        <color theme="1"/>
        <rFont val="Noto Sans CJK SC"/>
        <family val="2"/>
      </rPr>
      <t xml:space="preserve">号</t>
    </r>
  </si>
  <si>
    <t xml:space="preserve">https://www.pkulaw.com/read/case/pfnl/95b2ca8d4055fce10e3b3bc0ce439384e7f71f6830a7d641bdfb</t>
  </si>
  <si>
    <t xml:space="preserve">返费型；厂区不在郑州，仅作机制参考</t>
  </si>
  <si>
    <r>
      <rPr>
        <b val="true"/>
        <sz val="13"/>
        <rFont val="Noto Sans CJK SC"/>
        <family val="2"/>
      </rPr>
      <t xml:space="preserve">收入计算器：正式普工 </t>
    </r>
    <r>
      <rPr>
        <b val="true"/>
        <sz val="13"/>
        <rFont val="Cambria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小时工型派遣工（同样工时下的收入）</t>
    </r>
  </si>
  <si>
    <r>
      <rPr>
        <sz val="11"/>
        <color theme="1"/>
        <rFont val="Noto Sans CJK SC"/>
        <family val="2"/>
      </rPr>
      <t xml:space="preserve">蓝字黄底的格子可以改，其余自动计算。默认值来自 </t>
    </r>
    <r>
      <rPr>
        <sz val="11"/>
        <color theme="1"/>
        <rFont val="Calibri"/>
        <family val="2"/>
        <charset val="1"/>
      </rPr>
      <t xml:space="preserve">CLW 2025 </t>
    </r>
    <r>
      <rPr>
        <sz val="11"/>
        <color theme="1"/>
        <rFont val="Noto Sans CJK SC"/>
        <family val="2"/>
      </rPr>
      <t xml:space="preserve">年报告第</t>
    </r>
    <r>
      <rPr>
        <sz val="11"/>
        <color theme="1"/>
        <rFont val="Calibri"/>
        <family val="2"/>
        <charset val="1"/>
      </rPr>
      <t xml:space="preserve">15–18</t>
    </r>
    <r>
      <rPr>
        <sz val="11"/>
        <color theme="1"/>
        <rFont val="Noto Sans CJK SC"/>
        <family val="2"/>
      </rPr>
      <t xml:space="preserve">页和中国劳动法的加班规定。</t>
    </r>
  </si>
  <si>
    <t xml:space="preserve">参数</t>
  </si>
  <si>
    <r>
      <rPr>
        <sz val="11"/>
        <color theme="1"/>
        <rFont val="Noto Sans CJK SC"/>
        <family val="2"/>
      </rPr>
      <t xml:space="preserve">正式普工底薪（元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</si>
  <si>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CLW 2025 p.15</t>
    </r>
    <r>
      <rPr>
        <sz val="11"/>
        <color theme="1"/>
        <rFont val="Noto Sans CJK SC"/>
        <family val="2"/>
      </rPr>
      <t xml:space="preserve">：普工</t>
    </r>
    <r>
      <rPr>
        <sz val="11"/>
        <color theme="1"/>
        <rFont val="Calibri"/>
        <family val="2"/>
        <charset val="1"/>
      </rPr>
      <t xml:space="preserve">2,100–2,400</t>
    </r>
    <r>
      <rPr>
        <sz val="11"/>
        <color theme="1"/>
        <rFont val="Noto Sans CJK SC"/>
        <family val="2"/>
      </rPr>
      <t xml:space="preserve">元；取下限。等于郑州</t>
    </r>
    <r>
      <rPr>
        <sz val="11"/>
        <color theme="1"/>
        <rFont val="Calibri"/>
        <family val="2"/>
        <charset val="1"/>
      </rPr>
      <t xml:space="preserve">2024-01</t>
    </r>
    <r>
      <rPr>
        <sz val="11"/>
        <color theme="1"/>
        <rFont val="Noto Sans CJK SC"/>
        <family val="2"/>
      </rPr>
      <t xml:space="preserve">至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的最低工资</t>
    </r>
  </si>
  <si>
    <t xml:space="preserve">月计薪天数</t>
  </si>
  <si>
    <r>
      <rPr>
        <sz val="11"/>
        <color theme="1"/>
        <rFont val="Noto Sans CJK SC"/>
        <family val="2"/>
      </rPr>
      <t xml:space="preserve">劳动法规定：（</t>
    </r>
    <r>
      <rPr>
        <sz val="11"/>
        <color theme="1"/>
        <rFont val="Calibri"/>
        <family val="2"/>
        <charset val="1"/>
      </rPr>
      <t xml:space="preserve">365−104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÷12</t>
    </r>
  </si>
  <si>
    <t xml:space="preserve">日标准工时（小时）</t>
  </si>
  <si>
    <t xml:space="preserve">劳动法</t>
  </si>
  <si>
    <t xml:space="preserve">工作日加班倍数</t>
  </si>
  <si>
    <r>
      <rPr>
        <sz val="11"/>
        <color theme="1"/>
        <rFont val="Noto Sans CJK SC"/>
        <family val="2"/>
      </rPr>
      <t xml:space="preserve">劳动法第</t>
    </r>
    <r>
      <rPr>
        <sz val="11"/>
        <color theme="1"/>
        <rFont val="Calibri"/>
        <family val="2"/>
        <charset val="1"/>
      </rPr>
      <t xml:space="preserve">44</t>
    </r>
    <r>
      <rPr>
        <sz val="11"/>
        <color theme="1"/>
        <rFont val="Noto Sans CJK SC"/>
        <family val="2"/>
      </rPr>
      <t xml:space="preserve">条</t>
    </r>
  </si>
  <si>
    <t xml:space="preserve">休息日加班倍数</t>
  </si>
  <si>
    <t xml:space="preserve">法定节假日加班倍数</t>
  </si>
  <si>
    <r>
      <rPr>
        <sz val="11"/>
        <color theme="1"/>
        <rFont val="Noto Sans CJK SC"/>
        <family val="2"/>
      </rPr>
      <t xml:space="preserve">正式工社保个人缴费（元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</si>
  <si>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派遣工综合时薪（元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时）</t>
    </r>
  </si>
  <si>
    <r>
      <rPr>
        <sz val="11"/>
        <color theme="1"/>
        <rFont val="Calibri"/>
        <family val="2"/>
        <charset val="1"/>
      </rPr>
      <t xml:space="preserve">CLW 2025 p.15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25–28</t>
    </r>
    <r>
      <rPr>
        <sz val="11"/>
        <color theme="1"/>
        <rFont val="Noto Sans CJK SC"/>
        <family val="2"/>
      </rPr>
      <t xml:space="preserve">元；取下限</t>
    </r>
  </si>
  <si>
    <r>
      <rPr>
        <sz val="11"/>
        <color theme="1"/>
        <rFont val="Noto Sans CJK SC"/>
        <family val="2"/>
      </rPr>
      <t xml:space="preserve">其中按月发放的基本时薪（元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时）</t>
    </r>
  </si>
  <si>
    <t xml:space="preserve">推算的时薪</t>
  </si>
  <si>
    <r>
      <rPr>
        <sz val="11"/>
        <color theme="1"/>
        <rFont val="Noto Sans CJK SC"/>
        <family val="2"/>
      </rPr>
      <t xml:space="preserve">正式工小时工资（元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时）</t>
    </r>
  </si>
  <si>
    <t xml:space="preserve">正式工工作日加班时薪</t>
  </si>
  <si>
    <t xml:space="preserve">正式工休息日加班时薪</t>
  </si>
  <si>
    <t xml:space="preserve">正式工节假日加班时薪</t>
  </si>
  <si>
    <r>
      <rPr>
        <sz val="11"/>
        <color theme="1"/>
        <rFont val="Noto Sans CJK SC"/>
        <family val="2"/>
      </rPr>
      <t xml:space="preserve">派遣工“差价”部分（元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时，推迟到下月底发）</t>
    </r>
  </si>
  <si>
    <r>
      <rPr>
        <b val="true"/>
        <sz val="11"/>
        <rFont val="Noto Sans CJK SC"/>
        <family val="2"/>
      </rPr>
      <t xml:space="preserve">一个月（正班</t>
    </r>
    <r>
      <rPr>
        <b val="true"/>
        <sz val="11"/>
        <rFont val="Cambria"/>
        <family val="0"/>
        <charset val="1"/>
      </rPr>
      <t xml:space="preserve">174</t>
    </r>
    <r>
      <rPr>
        <b val="true"/>
        <sz val="11"/>
        <rFont val="Noto Sans CJK SC"/>
        <family val="2"/>
      </rPr>
      <t xml:space="preserve">小时 </t>
    </r>
    <r>
      <rPr>
        <b val="true"/>
        <sz val="11"/>
        <rFont val="Cambria"/>
        <family val="0"/>
        <charset val="1"/>
      </rPr>
      <t xml:space="preserve">= 21.75</t>
    </r>
    <r>
      <rPr>
        <b val="true"/>
        <sz val="11"/>
        <rFont val="Noto Sans CJK SC"/>
        <family val="2"/>
      </rPr>
      <t xml:space="preserve">天 </t>
    </r>
    <r>
      <rPr>
        <b val="true"/>
        <sz val="11"/>
        <rFont val="Cambria"/>
        <family val="0"/>
        <charset val="1"/>
      </rPr>
      <t xml:space="preserve">× 8</t>
    </r>
    <r>
      <rPr>
        <b val="true"/>
        <sz val="11"/>
        <rFont val="Noto Sans CJK SC"/>
        <family val="2"/>
      </rPr>
      <t xml:space="preserve">小时）</t>
    </r>
  </si>
  <si>
    <t xml:space="preserve">情景</t>
  </si>
  <si>
    <t xml:space="preserve">正班小时</t>
  </si>
  <si>
    <t xml:space="preserve">工作日加班小时</t>
  </si>
  <si>
    <t xml:space="preserve">休息日加班小时</t>
  </si>
  <si>
    <t xml:space="preserve">节假日加班小时</t>
  </si>
  <si>
    <t xml:space="preserve">总工时</t>
  </si>
  <si>
    <r>
      <rPr>
        <b val="true"/>
        <sz val="11"/>
        <color rgb="FFFFFFFF"/>
        <rFont val="Noto Sans CJK SC"/>
        <family val="2"/>
      </rPr>
      <t xml:space="preserve">正式工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税前（元）</t>
    </r>
  </si>
  <si>
    <r>
      <rPr>
        <b val="true"/>
        <sz val="11"/>
        <color rgb="FFFFFFFF"/>
        <rFont val="Noto Sans CJK SC"/>
        <family val="2"/>
      </rPr>
      <t xml:space="preserve">正式工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扣社保后（元）</t>
    </r>
  </si>
  <si>
    <r>
      <rPr>
        <b val="true"/>
        <sz val="11"/>
        <color rgb="FFFFFFFF"/>
        <rFont val="Noto Sans CJK SC"/>
        <family val="2"/>
      </rPr>
      <t xml:space="preserve">正式工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平均时薪</t>
    </r>
  </si>
  <si>
    <r>
      <rPr>
        <b val="true"/>
        <sz val="11"/>
        <color rgb="FFFFFFFF"/>
        <rFont val="Noto Sans CJK SC"/>
        <family val="2"/>
      </rPr>
      <t xml:space="preserve">派遣工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税前（元）</t>
    </r>
  </si>
  <si>
    <r>
      <rPr>
        <b val="true"/>
        <sz val="11"/>
        <color rgb="FFFFFFFF"/>
        <rFont val="Noto Sans CJK SC"/>
        <family val="2"/>
      </rPr>
      <t xml:space="preserve">派遣工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当期到手（元）</t>
    </r>
  </si>
  <si>
    <r>
      <rPr>
        <b val="true"/>
        <sz val="11"/>
        <color rgb="FFFFFFFF"/>
        <rFont val="Noto Sans CJK SC"/>
        <family val="2"/>
      </rPr>
      <t xml:space="preserve">派遣工</t>
    </r>
    <r>
      <rPr>
        <b val="true"/>
        <sz val="11"/>
        <color rgb="FFFFFFFF"/>
        <rFont val="Cambria"/>
        <family val="0"/>
        <charset val="1"/>
      </rPr>
      <t xml:space="preserve">_</t>
    </r>
    <r>
      <rPr>
        <b val="true"/>
        <sz val="11"/>
        <color rgb="FFFFFFFF"/>
        <rFont val="Noto Sans CJK SC"/>
        <family val="2"/>
      </rPr>
      <t xml:space="preserve">押后发放（元）</t>
    </r>
  </si>
  <si>
    <r>
      <rPr>
        <b val="true"/>
        <sz val="11"/>
        <color rgb="FFFFFFFF"/>
        <rFont val="Noto Sans CJK SC"/>
        <family val="2"/>
      </rPr>
      <t xml:space="preserve">派遣工</t>
    </r>
    <r>
      <rPr>
        <b val="true"/>
        <sz val="11"/>
        <color rgb="FFFFFFFF"/>
        <rFont val="Cambria"/>
        <family val="0"/>
        <charset val="1"/>
      </rPr>
      <t xml:space="preserve">÷</t>
    </r>
    <r>
      <rPr>
        <b val="true"/>
        <sz val="11"/>
        <color rgb="FFFFFFFF"/>
        <rFont val="Noto Sans CJK SC"/>
        <family val="2"/>
      </rPr>
      <t xml:space="preserve">正式工（税前）</t>
    </r>
  </si>
  <si>
    <t xml:space="preserve">两者差额（税前，元）</t>
  </si>
  <si>
    <r>
      <rPr>
        <sz val="11"/>
        <color theme="1"/>
        <rFont val="Noto Sans CJK SC"/>
        <family val="2"/>
      </rPr>
      <t xml:space="preserve">淡季（加班约</t>
    </r>
    <r>
      <rPr>
        <sz val="11"/>
        <color theme="1"/>
        <rFont val="Calibri"/>
        <family val="2"/>
        <charset val="1"/>
      </rPr>
      <t xml:space="preserve">52</t>
    </r>
    <r>
      <rPr>
        <sz val="11"/>
        <color theme="1"/>
        <rFont val="Noto Sans CJK SC"/>
        <family val="2"/>
      </rPr>
      <t xml:space="preserve">小时）</t>
    </r>
  </si>
  <si>
    <r>
      <rPr>
        <sz val="11"/>
        <color theme="1"/>
        <rFont val="Noto Sans CJK SC"/>
        <family val="2"/>
      </rPr>
      <t xml:space="preserve">旺季一般（每周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天</t>
    </r>
    <r>
      <rPr>
        <sz val="11"/>
        <color theme="1"/>
        <rFont val="Calibri"/>
        <family val="2"/>
        <charset val="1"/>
      </rPr>
      <t xml:space="preserve">×10</t>
    </r>
    <r>
      <rPr>
        <sz val="11"/>
        <color theme="1"/>
        <rFont val="Noto Sans CJK SC"/>
        <family val="2"/>
      </rPr>
      <t xml:space="preserve">小时，加班约</t>
    </r>
    <r>
      <rPr>
        <sz val="11"/>
        <color theme="1"/>
        <rFont val="Calibri"/>
        <family val="2"/>
        <charset val="1"/>
      </rPr>
      <t xml:space="preserve">87</t>
    </r>
    <r>
      <rPr>
        <sz val="11"/>
        <color theme="1"/>
        <rFont val="Noto Sans CJK SC"/>
        <family val="2"/>
      </rPr>
      <t xml:space="preserve">小时）</t>
    </r>
  </si>
  <si>
    <r>
      <rPr>
        <sz val="11"/>
        <color theme="1"/>
        <rFont val="Noto Sans CJK SC"/>
        <family val="2"/>
      </rPr>
      <t xml:space="preserve">旺季高峰（加班约</t>
    </r>
    <r>
      <rPr>
        <sz val="11"/>
        <color theme="1"/>
        <rFont val="Calibri"/>
        <family val="2"/>
        <charset val="1"/>
      </rPr>
      <t xml:space="preserve">130</t>
    </r>
    <r>
      <rPr>
        <sz val="11"/>
        <color theme="1"/>
        <rFont val="Noto Sans CJK SC"/>
        <family val="2"/>
      </rPr>
      <t xml:space="preserve">小时）</t>
    </r>
  </si>
  <si>
    <t xml:space="preserve">自定义</t>
  </si>
  <si>
    <r>
      <rPr>
        <sz val="11"/>
        <color theme="1"/>
        <rFont val="Noto Sans CJK SC"/>
        <family val="2"/>
      </rPr>
      <t xml:space="preserve">注：正式工的正班工资按“小时工资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正班小时”计，正班</t>
    </r>
    <r>
      <rPr>
        <sz val="11"/>
        <color theme="1"/>
        <rFont val="Calibri"/>
        <family val="2"/>
        <charset val="1"/>
      </rPr>
      <t xml:space="preserve">174</t>
    </r>
    <r>
      <rPr>
        <sz val="11"/>
        <color theme="1"/>
        <rFont val="Noto Sans CJK SC"/>
        <family val="2"/>
      </rPr>
      <t xml:space="preserve">小时时正好等于月底薪。淡季情景假设每天正班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小时＋部分工作日加班，周六上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小时。</t>
    </r>
  </si>
  <si>
    <r>
      <rPr>
        <b val="true"/>
        <sz val="11"/>
        <rFont val="Noto Sans CJK SC"/>
        <family val="2"/>
      </rPr>
      <t xml:space="preserve">一周（旺季：每周</t>
    </r>
    <r>
      <rPr>
        <b val="true"/>
        <sz val="11"/>
        <rFont val="Cambria"/>
        <family val="0"/>
        <charset val="1"/>
      </rPr>
      <t xml:space="preserve">6</t>
    </r>
    <r>
      <rPr>
        <b val="true"/>
        <sz val="11"/>
        <rFont val="Noto Sans CJK SC"/>
        <family val="2"/>
      </rPr>
      <t xml:space="preserve">天 </t>
    </r>
    <r>
      <rPr>
        <b val="true"/>
        <sz val="11"/>
        <rFont val="Cambria"/>
        <family val="0"/>
        <charset val="1"/>
      </rPr>
      <t xml:space="preserve">× 10</t>
    </r>
    <r>
      <rPr>
        <b val="true"/>
        <sz val="11"/>
        <rFont val="Noto Sans CJK SC"/>
        <family val="2"/>
      </rPr>
      <t xml:space="preserve">小时 </t>
    </r>
    <r>
      <rPr>
        <b val="true"/>
        <sz val="11"/>
        <rFont val="Cambria"/>
        <family val="0"/>
        <charset val="1"/>
      </rPr>
      <t xml:space="preserve">= 60</t>
    </r>
    <r>
      <rPr>
        <b val="true"/>
        <sz val="11"/>
        <rFont val="Noto Sans CJK SC"/>
        <family val="2"/>
      </rPr>
      <t xml:space="preserve">小时）</t>
    </r>
  </si>
  <si>
    <t xml:space="preserve">旺季一周</t>
  </si>
  <si>
    <r>
      <rPr>
        <sz val="11"/>
        <color theme="1"/>
        <rFont val="Noto Sans CJK SC"/>
        <family val="2"/>
      </rPr>
      <t xml:space="preserve">注：周表的社保按 月缴费 </t>
    </r>
    <r>
      <rPr>
        <sz val="11"/>
        <color theme="1"/>
        <rFont val="Calibri"/>
        <family val="2"/>
        <charset val="1"/>
      </rPr>
      <t xml:space="preserve">× 12 ÷ 52 </t>
    </r>
    <r>
      <rPr>
        <sz val="11"/>
        <color theme="1"/>
        <rFont val="Noto Sans CJK SC"/>
        <family val="2"/>
      </rPr>
      <t xml:space="preserve">分摊。</t>
    </r>
  </si>
  <si>
    <t xml:space="preserve">说明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</si>
  <si>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正式工：月工资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底薪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工作日加班 </t>
    </r>
    <r>
      <rPr>
        <sz val="11"/>
        <color theme="1"/>
        <rFont val="Calibri"/>
        <family val="2"/>
        <charset val="1"/>
      </rPr>
      <t xml:space="preserve">× 1.5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休息日加班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节假日加班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倍，加班时薪用 底薪 </t>
    </r>
    <r>
      <rPr>
        <sz val="11"/>
        <color theme="1"/>
        <rFont val="Calibri"/>
        <family val="2"/>
        <charset val="1"/>
      </rPr>
      <t xml:space="preserve">÷ 21.75 ÷ 8 </t>
    </r>
    <r>
      <rPr>
        <sz val="11"/>
        <color theme="1"/>
        <rFont val="Noto Sans CJK SC"/>
        <family val="2"/>
      </rPr>
      <t xml:space="preserve">折算。没有计入夜班补贴（</t>
    </r>
    <r>
      <rPr>
        <sz val="11"/>
        <color theme="1"/>
        <rFont val="Calibri"/>
        <family val="2"/>
        <charset val="1"/>
      </rPr>
      <t xml:space="preserve">8–10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晚）、技能补贴和岗位补贴。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</si>
  <si>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小时工型派遣工：所有工时（包括加班）都按同一个综合时薪计算，没有加班倍数，也不缴社保。其中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时按月发放，其余“差价”推迟到下个月底，并且要求当月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号时仍在职。</t>
    </r>
  </si>
  <si>
    <r>
      <rPr>
        <sz val="11"/>
        <color theme="1"/>
        <rFont val="Calibri"/>
        <family val="2"/>
        <charset val="1"/>
      </rPr>
      <t xml:space="preserve">3. “</t>
    </r>
    <r>
      <rPr>
        <sz val="11"/>
        <color theme="1"/>
        <rFont val="Noto Sans CJK SC"/>
        <family val="2"/>
      </rPr>
      <t xml:space="preserve">押后发放”是当月工时对应、要到下个月底才发的部分；如果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号前离职，按</t>
    </r>
    <r>
      <rPr>
        <sz val="11"/>
        <color theme="1"/>
        <rFont val="Calibri"/>
        <family val="2"/>
        <charset val="1"/>
      </rPr>
      <t xml:space="preserve">CLW</t>
    </r>
    <r>
      <rPr>
        <sz val="11"/>
        <color theme="1"/>
        <rFont val="Noto Sans CJK SC"/>
        <family val="2"/>
      </rPr>
      <t xml:space="preserve">报告会损失前两个月的差价。</t>
    </r>
  </si>
  <si>
    <r>
      <rPr>
        <sz val="11"/>
        <color theme="1"/>
        <rFont val="Calibri"/>
        <family val="2"/>
        <charset val="1"/>
      </rPr>
      <t xml:space="preserve">4. </t>
    </r>
    <r>
      <rPr>
        <sz val="11"/>
        <color theme="1"/>
        <rFont val="Noto Sans CJK SC"/>
        <family val="2"/>
      </rPr>
      <t xml:space="preserve">饭费（饭卡每月预存</t>
    </r>
    <r>
      <rPr>
        <sz val="11"/>
        <color theme="1"/>
        <rFont val="Calibri"/>
        <family val="2"/>
        <charset val="1"/>
      </rPr>
      <t xml:space="preserve">400</t>
    </r>
    <r>
      <rPr>
        <sz val="11"/>
        <color theme="1"/>
        <rFont val="Noto Sans CJK SC"/>
        <family val="2"/>
      </rPr>
      <t xml:space="preserve">元）和住宿（约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月）两类工人相同，没有计入对比。正式工单位缴纳的社保部分也没有折成现金计入，这是正式工的一项额外福利。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</si>
  <si>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结果可以和</t>
    </r>
    <r>
      <rPr>
        <sz val="11"/>
        <color theme="1"/>
        <rFont val="Calibri"/>
        <family val="2"/>
        <charset val="1"/>
      </rPr>
      <t xml:space="preserve">CLW</t>
    </r>
    <r>
      <rPr>
        <sz val="11"/>
        <color theme="1"/>
        <rFont val="Noto Sans CJK SC"/>
        <family val="2"/>
      </rPr>
      <t xml:space="preserve">报告对照：普工加班后约</t>
    </r>
    <r>
      <rPr>
        <sz val="11"/>
        <color theme="1"/>
        <rFont val="Calibri"/>
        <family val="2"/>
        <charset val="1"/>
      </rPr>
      <t xml:space="preserve">3,000–3,500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月；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时的派遣工“加班很多时能拿</t>
    </r>
    <r>
      <rPr>
        <sz val="11"/>
        <color theme="1"/>
        <rFont val="Calibri"/>
        <family val="2"/>
        <charset val="1"/>
      </rPr>
      <t xml:space="preserve">5,000</t>
    </r>
    <r>
      <rPr>
        <sz val="11"/>
        <color theme="1"/>
        <rFont val="Noto Sans CJK SC"/>
        <family val="2"/>
      </rPr>
      <t xml:space="preserve">多元”（</t>
    </r>
    <r>
      <rPr>
        <sz val="11"/>
        <color theme="1"/>
        <rFont val="Calibri"/>
        <family val="2"/>
        <charset val="1"/>
      </rPr>
      <t xml:space="preserve">p.27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</si>
  <si>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3"/>
        <rFont val="Noto Sans CJK SC"/>
        <family val="2"/>
      </rPr>
      <t xml:space="preserve">四类工人的工资结构（</t>
    </r>
    <r>
      <rPr>
        <b val="true"/>
        <sz val="13"/>
        <rFont val="Cambria"/>
        <family val="0"/>
        <charset val="1"/>
      </rPr>
      <t xml:space="preserve">CLW 2025</t>
    </r>
    <r>
      <rPr>
        <b val="true"/>
        <sz val="13"/>
        <rFont val="Noto Sans CJK SC"/>
        <family val="2"/>
      </rPr>
      <t xml:space="preserve">年报告 </t>
    </r>
    <r>
      <rPr>
        <b val="true"/>
        <sz val="13"/>
        <rFont val="Cambria"/>
        <family val="0"/>
        <charset val="1"/>
      </rPr>
      <t xml:space="preserve">p.15–17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Cambria"/>
        <family val="0"/>
        <charset val="1"/>
      </rPr>
      <t xml:space="preserve">2023</t>
    </r>
    <r>
      <rPr>
        <b val="true"/>
        <sz val="13"/>
        <rFont val="Noto Sans CJK SC"/>
        <family val="2"/>
      </rPr>
      <t xml:space="preserve">年报告 </t>
    </r>
    <r>
      <rPr>
        <b val="true"/>
        <sz val="13"/>
        <rFont val="Cambria"/>
        <family val="0"/>
        <charset val="1"/>
      </rPr>
      <t xml:space="preserve">p.50</t>
    </r>
    <r>
      <rPr>
        <b val="true"/>
        <sz val="13"/>
        <rFont val="Noto Sans CJK SC"/>
        <family val="2"/>
      </rPr>
      <t xml:space="preserve">）</t>
    </r>
  </si>
  <si>
    <t xml:space="preserve">正式工</t>
  </si>
  <si>
    <r>
      <rPr>
        <b val="true"/>
        <sz val="11"/>
        <rFont val="Noto Sans CJK SC"/>
        <family val="2"/>
      </rPr>
      <t xml:space="preserve">派遣工</t>
    </r>
    <r>
      <rPr>
        <b val="true"/>
        <sz val="11"/>
        <rFont val="Cambria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返费型</t>
    </r>
  </si>
  <si>
    <r>
      <rPr>
        <b val="true"/>
        <sz val="11"/>
        <rFont val="Noto Sans CJK SC"/>
        <family val="2"/>
      </rPr>
      <t xml:space="preserve">派遣工</t>
    </r>
    <r>
      <rPr>
        <b val="true"/>
        <sz val="11"/>
        <rFont val="Cambria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小时工型</t>
    </r>
  </si>
  <si>
    <t xml:space="preserve">雇主</t>
  </si>
  <si>
    <t xml:space="preserve">富士康</t>
  </si>
  <si>
    <t xml:space="preserve">派遣公司</t>
  </si>
  <si>
    <r>
      <rPr>
        <sz val="11"/>
        <color theme="1"/>
        <rFont val="Noto Sans CJK SC"/>
        <family val="2"/>
      </rPr>
      <t xml:space="preserve">学校合作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假期工</t>
    </r>
  </si>
  <si>
    <r>
      <rPr>
        <sz val="11"/>
        <color theme="1"/>
        <rFont val="Noto Sans CJK SC"/>
        <family val="2"/>
      </rPr>
      <t xml:space="preserve">普工</t>
    </r>
    <r>
      <rPr>
        <sz val="11"/>
        <color theme="1"/>
        <rFont val="Calibri"/>
        <family val="2"/>
        <charset val="1"/>
      </rPr>
      <t xml:space="preserve">2,100–2,400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月；技术工</t>
    </r>
    <r>
      <rPr>
        <sz val="11"/>
        <color theme="1"/>
        <rFont val="Calibri"/>
        <family val="2"/>
        <charset val="1"/>
      </rPr>
      <t xml:space="preserve">2,400–3,000</t>
    </r>
    <r>
      <rPr>
        <sz val="11"/>
        <color theme="1"/>
        <rFont val="Noto Sans CJK SC"/>
        <family val="2"/>
      </rPr>
      <t xml:space="preserve">元＋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元技能补贴</t>
    </r>
  </si>
  <si>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2,100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</si>
  <si>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无，综合时薪</t>
    </r>
    <r>
      <rPr>
        <sz val="11"/>
        <color theme="1"/>
        <rFont val="Calibri"/>
        <family val="2"/>
        <charset val="1"/>
      </rPr>
      <t xml:space="preserve">25–28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</si>
  <si>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</t>
    </r>
  </si>
  <si>
    <t xml:space="preserve">加班费</t>
  </si>
  <si>
    <r>
      <rPr>
        <sz val="11"/>
        <color theme="1"/>
        <rFont val="Noto Sans CJK SC"/>
        <family val="2"/>
      </rPr>
      <t xml:space="preserve">按劳动法：工作日</t>
    </r>
    <r>
      <rPr>
        <sz val="11"/>
        <color theme="1"/>
        <rFont val="Calibri"/>
        <family val="2"/>
        <charset val="1"/>
      </rPr>
      <t xml:space="preserve">1.5</t>
    </r>
    <r>
      <rPr>
        <sz val="11"/>
        <color theme="1"/>
        <rFont val="Noto Sans CJK SC"/>
        <family val="2"/>
      </rPr>
      <t xml:space="preserve">倍、休息日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倍、节假日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倍</t>
    </r>
  </si>
  <si>
    <t xml:space="preserve">报告未单独说明</t>
  </si>
  <si>
    <t xml:space="preserve">无加班倍数，已含在时薪里</t>
  </si>
  <si>
    <r>
      <rPr>
        <sz val="11"/>
        <color theme="1"/>
        <rFont val="Noto Sans CJK SC"/>
        <family val="2"/>
      </rPr>
      <t xml:space="preserve">按</t>
    </r>
    <r>
      <rPr>
        <sz val="11"/>
        <color theme="1"/>
        <rFont val="Calibri"/>
        <family val="2"/>
        <charset val="1"/>
      </rPr>
      <t xml:space="preserve">1.5/2/3</t>
    </r>
    <r>
      <rPr>
        <sz val="11"/>
        <color theme="1"/>
        <rFont val="Noto Sans CJK SC"/>
        <family val="2"/>
      </rPr>
      <t xml:space="preserve">倍</t>
    </r>
  </si>
  <si>
    <t xml:space="preserve">额外收入</t>
  </si>
  <si>
    <r>
      <rPr>
        <sz val="11"/>
        <color theme="1"/>
        <rFont val="Noto Sans CJK SC"/>
        <family val="2"/>
      </rPr>
      <t xml:space="preserve">夜班补贴</t>
    </r>
    <r>
      <rPr>
        <sz val="11"/>
        <color theme="1"/>
        <rFont val="Calibri"/>
        <family val="2"/>
        <charset val="1"/>
      </rPr>
      <t xml:space="preserve">8–10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晚；关键岗位补贴</t>
    </r>
    <r>
      <rPr>
        <sz val="11"/>
        <color theme="1"/>
        <rFont val="Calibri"/>
        <family val="2"/>
        <charset val="1"/>
      </rPr>
      <t xml:space="preserve">80–200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</si>
  <si>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返费</t>
    </r>
    <r>
      <rPr>
        <sz val="11"/>
        <color theme="1"/>
        <rFont val="Calibri"/>
        <family val="2"/>
        <charset val="1"/>
      </rPr>
      <t xml:space="preserve">4,800–9,800</t>
    </r>
    <r>
      <rPr>
        <sz val="11"/>
        <color theme="1"/>
        <rFont val="Noto Sans CJK SC"/>
        <family val="2"/>
      </rPr>
      <t xml:space="preserve">元，连续在职满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天才发，提前离职作废</t>
    </r>
  </si>
  <si>
    <r>
      <rPr>
        <sz val="11"/>
        <color theme="1"/>
        <rFont val="Noto Sans CJK SC"/>
        <family val="2"/>
      </rPr>
      <t xml:space="preserve">约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时的“差价”，推迟到下月底发，须当月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号在职</t>
    </r>
  </si>
  <si>
    <t xml:space="preserve">无</t>
  </si>
  <si>
    <t xml:space="preserve">社保</t>
  </si>
  <si>
    <r>
      <rPr>
        <sz val="11"/>
        <color theme="1"/>
        <rFont val="Noto Sans CJK SC"/>
        <family val="2"/>
      </rPr>
      <t xml:space="preserve">有，个人每月缴</t>
    </r>
    <r>
      <rPr>
        <sz val="11"/>
        <color theme="1"/>
        <rFont val="Calibri"/>
        <family val="2"/>
        <charset val="1"/>
      </rPr>
      <t xml:space="preserve">348</t>
    </r>
    <r>
      <rPr>
        <sz val="11"/>
        <color theme="1"/>
        <rFont val="Noto Sans CJK SC"/>
        <family val="2"/>
      </rPr>
      <t xml:space="preserve">元</t>
    </r>
  </si>
  <si>
    <t xml:space="preserve">病假</t>
  </si>
  <si>
    <t xml:space="preserve">可凭病历请部分带薪病假</t>
  </si>
  <si>
    <t xml:space="preserve">入职签署</t>
  </si>
  <si>
    <t xml:space="preserve">劳动合同</t>
  </si>
  <si>
    <t xml:space="preserve">《返费协议》</t>
  </si>
  <si>
    <t xml:space="preserve">《工资差价确认书》</t>
  </si>
  <si>
    <t xml:space="preserve">离职损失</t>
  </si>
  <si>
    <t xml:space="preserve">—</t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</si>
  <si>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天内离职，整笔返费作废</t>
    </r>
  </si>
  <si>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号前离职，损失前两个月差价约</t>
    </r>
    <r>
      <rPr>
        <sz val="11"/>
        <color theme="1"/>
        <rFont val="Calibri"/>
        <family val="2"/>
        <charset val="1"/>
      </rPr>
      <t xml:space="preserve">5,200–6,000</t>
    </r>
    <r>
      <rPr>
        <sz val="11"/>
        <color theme="1"/>
        <rFont val="Noto Sans CJK SC"/>
        <family val="2"/>
      </rPr>
      <t xml:space="preserve">元</t>
    </r>
  </si>
  <si>
    <t xml:space="preserve">留人的方式</t>
  </si>
  <si>
    <r>
      <rPr>
        <sz val="11"/>
        <color theme="1"/>
        <rFont val="Noto Sans CJK SC"/>
        <family val="2"/>
      </rPr>
      <t xml:space="preserve">一次性门槛：满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天之前拿不到返费</t>
    </r>
  </si>
  <si>
    <r>
      <rPr>
        <sz val="11"/>
        <color theme="1"/>
        <rFont val="Noto Sans CJK SC"/>
        <family val="2"/>
      </rPr>
      <t xml:space="preserve">滚动押款：始终有</t>
    </r>
    <r>
      <rPr>
        <sz val="11"/>
        <color theme="1"/>
        <rFont val="Calibri"/>
        <family val="2"/>
        <charset val="1"/>
      </rPr>
      <t xml:space="preserve">1–2</t>
    </r>
    <r>
      <rPr>
        <sz val="11"/>
        <color theme="1"/>
        <rFont val="Noto Sans CJK SC"/>
        <family val="2"/>
      </rPr>
      <t xml:space="preserve">个月的差价压着</t>
    </r>
  </si>
  <si>
    <t xml:space="preserve">判决书中的个案</t>
  </si>
  <si>
    <r>
      <rPr>
        <sz val="11"/>
        <color theme="1"/>
        <rFont val="Calibri"/>
        <family val="2"/>
        <charset val="1"/>
      </rPr>
      <t xml:space="preserve">(2021)</t>
    </r>
    <r>
      <rPr>
        <sz val="11"/>
        <color theme="1"/>
        <rFont val="Noto Sans CJK SC"/>
        <family val="2"/>
      </rPr>
      <t xml:space="preserve">川</t>
    </r>
    <r>
      <rPr>
        <sz val="11"/>
        <color theme="1"/>
        <rFont val="Calibri"/>
        <family val="2"/>
        <charset val="1"/>
      </rPr>
      <t xml:space="preserve">0191</t>
    </r>
    <r>
      <rPr>
        <sz val="11"/>
        <color theme="1"/>
        <rFont val="Noto Sans CJK SC"/>
        <family val="2"/>
      </rPr>
      <t xml:space="preserve">民初</t>
    </r>
    <r>
      <rPr>
        <sz val="11"/>
        <color theme="1"/>
        <rFont val="Calibri"/>
        <family val="2"/>
        <charset val="1"/>
      </rPr>
      <t xml:space="preserve">16242</t>
    </r>
    <r>
      <rPr>
        <sz val="11"/>
        <color theme="1"/>
        <rFont val="Noto Sans CJK SC"/>
        <family val="2"/>
      </rPr>
      <t xml:space="preserve">号：打卡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天</t>
    </r>
    <r>
      <rPr>
        <sz val="11"/>
        <color theme="1"/>
        <rFont val="Calibri"/>
        <family val="2"/>
        <charset val="1"/>
      </rPr>
      <t xml:space="preserve">9,000</t>
    </r>
    <r>
      <rPr>
        <sz val="11"/>
        <color theme="1"/>
        <rFont val="Noto Sans CJK SC"/>
        <family val="2"/>
      </rPr>
      <t xml:space="preserve">元＋再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天</t>
    </r>
    <r>
      <rPr>
        <sz val="11"/>
        <color theme="1"/>
        <rFont val="Calibri"/>
        <family val="2"/>
        <charset val="1"/>
      </rPr>
      <t xml:space="preserve">8,000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</si>
  <si>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(2023)</t>
    </r>
    <r>
      <rPr>
        <sz val="11"/>
        <color theme="1"/>
        <rFont val="Noto Sans CJK SC"/>
        <family val="2"/>
      </rPr>
      <t xml:space="preserve">豫</t>
    </r>
    <r>
      <rPr>
        <sz val="11"/>
        <color theme="1"/>
        <rFont val="Calibri"/>
        <family val="2"/>
        <charset val="1"/>
      </rPr>
      <t xml:space="preserve">01</t>
    </r>
    <r>
      <rPr>
        <sz val="11"/>
        <color theme="1"/>
        <rFont val="Noto Sans CJK SC"/>
        <family val="2"/>
      </rPr>
      <t xml:space="preserve">民终</t>
    </r>
    <r>
      <rPr>
        <sz val="11"/>
        <color theme="1"/>
        <rFont val="Calibri"/>
        <family val="2"/>
        <charset val="1"/>
      </rPr>
      <t xml:space="preserve">17709</t>
    </r>
    <r>
      <rPr>
        <sz val="11"/>
        <color theme="1"/>
        <rFont val="Noto Sans CJK SC"/>
        <family val="2"/>
      </rPr>
      <t xml:space="preserve">号：“同工同酬＋小时差价”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时（入职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天内）</t>
    </r>
  </si>
  <si>
    <r>
      <rPr>
        <sz val="11"/>
        <color theme="1"/>
        <rFont val="Noto Sans CJK SC"/>
        <family val="2"/>
      </rPr>
      <t xml:space="preserve">工厂层面的劳工数据没有强制披露，这里的数字来自</t>
    </r>
    <r>
      <rPr>
        <sz val="11"/>
        <color theme="1"/>
        <rFont val="Calibri"/>
        <family val="2"/>
        <charset val="1"/>
      </rPr>
      <t xml:space="preserve">NGO</t>
    </r>
    <r>
      <rPr>
        <sz val="11"/>
        <color theme="1"/>
        <rFont val="Noto Sans CJK SC"/>
        <family val="2"/>
      </rPr>
      <t xml:space="preserve">调查（</t>
    </r>
    <r>
      <rPr>
        <sz val="11"/>
        <color theme="1"/>
        <rFont val="Calibri"/>
        <family val="2"/>
        <charset val="1"/>
      </rPr>
      <t xml:space="preserve">China Labor Watch 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年报告）、新闻报道和官方文件（最低工资、工商年报）。</t>
    </r>
  </si>
  <si>
    <r>
      <rPr>
        <sz val="11"/>
        <color theme="1"/>
        <rFont val="Calibri"/>
        <family val="2"/>
        <charset val="1"/>
      </rPr>
      <t xml:space="preserve">CLW</t>
    </r>
    <r>
      <rPr>
        <sz val="11"/>
        <color theme="1"/>
        <rFont val="Noto Sans CJK SC"/>
        <family val="2"/>
      </rPr>
      <t xml:space="preserve">的数据来自工人访谈和实地调查，是调查期内的观察值，不是全厂统计。新闻报道的时薪和返费多来自招工中介，和“用工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招聘帖返费小时工价与底薪</t>
    </r>
    <r>
      <rPr>
        <sz val="11"/>
        <color theme="1"/>
        <rFont val="Calibri"/>
        <family val="2"/>
        <charset val="1"/>
      </rPr>
      <t xml:space="preserve">_2010-2026.xlsx”</t>
    </r>
    <r>
      <rPr>
        <sz val="11"/>
        <color theme="1"/>
        <rFont val="Noto Sans CJK SC"/>
        <family val="2"/>
      </rPr>
      <t xml:space="preserve">可以对照。</t>
    </r>
  </si>
  <si>
    <r>
      <rPr>
        <sz val="11"/>
        <color theme="1"/>
        <rFont val="Noto Sans CJK SC"/>
        <family val="2"/>
      </rPr>
      <t xml:space="preserve">原来放在“富士康郑州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分厂区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劳工与环境数据</t>
    </r>
    <r>
      <rPr>
        <sz val="11"/>
        <color theme="1"/>
        <rFont val="Calibri"/>
        <family val="2"/>
        <charset val="1"/>
      </rPr>
      <t xml:space="preserve">.xlsx”</t>
    </r>
    <r>
      <rPr>
        <sz val="11"/>
        <color theme="1"/>
        <rFont val="Noto Sans CJK SC"/>
        <family val="2"/>
      </rPr>
      <t xml:space="preserve">（后改名为“概览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厂区法人实体排污许可与劳工快照</t>
    </r>
    <r>
      <rPr>
        <sz val="11"/>
        <color theme="1"/>
        <rFont val="Calibri"/>
        <family val="2"/>
        <charset val="1"/>
      </rPr>
      <t xml:space="preserve">_2025”</t>
    </r>
    <r>
      <rPr>
        <sz val="11"/>
        <color theme="1"/>
        <rFont val="Noto Sans CJK SC"/>
        <family val="2"/>
      </rPr>
      <t xml:space="preserve">）里，现在单独拆出。参保人数那一条补上了年份（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年报）。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</si>
</sst>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#,##0"/>
    <numFmt numFmtId="168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46"/>
    <col collapsed="false" customWidth="true" hidden="false" outlineLevel="0" max="8" min="8" style="0" width="50"/>
  </cols>
  <sheetData>
    <row r="1" customFormat="false" ht="20.1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2" t="s">
        <v>8</v>
      </c>
    </row>
    <row r="4" customFormat="false" ht="32.8" hidden="false" customHeight="false" outlineLevel="0" collapsed="false">
      <c r="A4" s="4" t="s">
        <v>9</v>
      </c>
      <c r="B4" s="4" t="s">
        <v>10</v>
      </c>
      <c r="C4" s="5" t="s">
        <v>11</v>
      </c>
      <c r="D4" s="4" t="s">
        <v>12</v>
      </c>
      <c r="E4" s="5" t="s">
        <v>13</v>
      </c>
      <c r="F4" s="5" t="s">
        <v>14</v>
      </c>
      <c r="G4" s="5" t="s">
        <v>15</v>
      </c>
      <c r="H4" s="5"/>
    </row>
    <row r="5" customFormat="false" ht="32.8" hidden="false" customHeight="false" outlineLevel="0" collapsed="false">
      <c r="A5" s="4" t="s">
        <v>16</v>
      </c>
      <c r="B5" s="5" t="s">
        <v>17</v>
      </c>
      <c r="C5" s="5" t="s">
        <v>18</v>
      </c>
      <c r="D5" s="4" t="s">
        <v>12</v>
      </c>
      <c r="E5" s="5" t="s">
        <v>13</v>
      </c>
      <c r="F5" s="5" t="s">
        <v>14</v>
      </c>
      <c r="G5" s="5" t="s">
        <v>15</v>
      </c>
      <c r="H5" s="5"/>
    </row>
    <row r="6" customFormat="false" ht="32.8" hidden="false" customHeight="false" outlineLevel="0" collapsed="false">
      <c r="A6" s="4" t="s">
        <v>19</v>
      </c>
      <c r="B6" s="5" t="s">
        <v>20</v>
      </c>
      <c r="C6" s="5" t="s">
        <v>21</v>
      </c>
      <c r="D6" s="4" t="s">
        <v>12</v>
      </c>
      <c r="E6" s="5" t="s">
        <v>13</v>
      </c>
      <c r="F6" s="5" t="s">
        <v>14</v>
      </c>
      <c r="G6" s="5" t="s">
        <v>15</v>
      </c>
      <c r="H6" s="5"/>
    </row>
    <row r="7" customFormat="false" ht="32.8" hidden="false" customHeight="false" outlineLevel="0" collapsed="false">
      <c r="A7" s="4" t="s">
        <v>22</v>
      </c>
      <c r="B7" s="5" t="s">
        <v>23</v>
      </c>
      <c r="C7" s="5" t="s">
        <v>24</v>
      </c>
      <c r="D7" s="4" t="s">
        <v>12</v>
      </c>
      <c r="E7" s="5" t="s">
        <v>13</v>
      </c>
      <c r="F7" s="5" t="s">
        <v>14</v>
      </c>
      <c r="G7" s="5" t="s">
        <v>15</v>
      </c>
      <c r="H7" s="5"/>
    </row>
    <row r="8" customFormat="false" ht="32.8" hidden="false" customHeight="false" outlineLevel="0" collapsed="false">
      <c r="A8" s="4" t="s">
        <v>25</v>
      </c>
      <c r="B8" s="5" t="s">
        <v>26</v>
      </c>
      <c r="C8" s="5" t="s">
        <v>27</v>
      </c>
      <c r="D8" s="4" t="s">
        <v>12</v>
      </c>
      <c r="E8" s="5" t="s">
        <v>13</v>
      </c>
      <c r="F8" s="5" t="s">
        <v>14</v>
      </c>
      <c r="G8" s="5" t="s">
        <v>15</v>
      </c>
      <c r="H8" s="5"/>
    </row>
    <row r="9" customFormat="false" ht="32.8" hidden="false" customHeight="false" outlineLevel="0" collapsed="false">
      <c r="A9" s="4" t="s">
        <v>28</v>
      </c>
      <c r="B9" s="4" t="s">
        <v>29</v>
      </c>
      <c r="C9" s="5" t="s">
        <v>27</v>
      </c>
      <c r="D9" s="4" t="s">
        <v>12</v>
      </c>
      <c r="E9" s="5" t="s">
        <v>13</v>
      </c>
      <c r="F9" s="5" t="s">
        <v>14</v>
      </c>
      <c r="G9" s="5" t="s">
        <v>15</v>
      </c>
      <c r="H9" s="5"/>
    </row>
    <row r="10" customFormat="false" ht="48.5" hidden="false" customHeight="false" outlineLevel="0" collapsed="false">
      <c r="A10" s="4" t="s">
        <v>30</v>
      </c>
      <c r="B10" s="5" t="s">
        <v>31</v>
      </c>
      <c r="C10" s="5" t="s">
        <v>32</v>
      </c>
      <c r="D10" s="4" t="s">
        <v>33</v>
      </c>
      <c r="E10" s="4" t="s">
        <v>34</v>
      </c>
      <c r="F10" s="4" t="s">
        <v>35</v>
      </c>
      <c r="G10" s="5" t="s">
        <v>36</v>
      </c>
      <c r="H10" s="5" t="s">
        <v>37</v>
      </c>
    </row>
    <row r="11" customFormat="false" ht="32.8" hidden="false" customHeight="false" outlineLevel="0" collapsed="false">
      <c r="A11" s="4" t="s">
        <v>38</v>
      </c>
      <c r="B11" s="5" t="s">
        <v>39</v>
      </c>
      <c r="C11" s="5" t="s">
        <v>40</v>
      </c>
      <c r="D11" s="4" t="s">
        <v>12</v>
      </c>
      <c r="E11" s="4" t="s">
        <v>41</v>
      </c>
      <c r="F11" s="4" t="s">
        <v>42</v>
      </c>
      <c r="G11" s="5" t="s">
        <v>43</v>
      </c>
      <c r="H11" s="5"/>
    </row>
    <row r="12" customFormat="false" ht="48.5" hidden="false" customHeight="false" outlineLevel="0" collapsed="false">
      <c r="A12" s="4" t="s">
        <v>44</v>
      </c>
      <c r="B12" s="5" t="s">
        <v>45</v>
      </c>
      <c r="C12" s="5" t="s">
        <v>46</v>
      </c>
      <c r="D12" s="4" t="s">
        <v>47</v>
      </c>
      <c r="E12" s="4" t="s">
        <v>34</v>
      </c>
      <c r="F12" s="4" t="s">
        <v>48</v>
      </c>
      <c r="G12" s="5" t="s">
        <v>49</v>
      </c>
      <c r="H12" s="5"/>
    </row>
    <row r="13" customFormat="false" ht="32.8" hidden="false" customHeight="false" outlineLevel="0" collapsed="false">
      <c r="A13" s="4" t="s">
        <v>50</v>
      </c>
      <c r="B13" s="5" t="s">
        <v>51</v>
      </c>
      <c r="C13" s="5" t="s">
        <v>52</v>
      </c>
      <c r="D13" s="4" t="s">
        <v>12</v>
      </c>
      <c r="E13" s="4" t="s">
        <v>41</v>
      </c>
      <c r="F13" s="4" t="s">
        <v>53</v>
      </c>
      <c r="G13" s="5" t="s">
        <v>54</v>
      </c>
      <c r="H13" s="5"/>
    </row>
    <row r="14" customFormat="false" ht="32.8" hidden="false" customHeight="false" outlineLevel="0" collapsed="false">
      <c r="A14" s="4" t="s">
        <v>55</v>
      </c>
      <c r="B14" s="5" t="s">
        <v>56</v>
      </c>
      <c r="C14" s="5" t="s">
        <v>57</v>
      </c>
      <c r="D14" s="4" t="s">
        <v>12</v>
      </c>
      <c r="E14" s="5" t="s">
        <v>13</v>
      </c>
      <c r="F14" s="5" t="s">
        <v>58</v>
      </c>
      <c r="G14" s="5" t="s">
        <v>59</v>
      </c>
      <c r="H14" s="4" t="s">
        <v>60</v>
      </c>
    </row>
    <row r="15" customFormat="false" ht="32.8" hidden="false" customHeight="false" outlineLevel="0" collapsed="false">
      <c r="A15" s="4" t="s">
        <v>22</v>
      </c>
      <c r="B15" s="5" t="s">
        <v>61</v>
      </c>
      <c r="C15" s="5" t="s">
        <v>57</v>
      </c>
      <c r="D15" s="4" t="s">
        <v>12</v>
      </c>
      <c r="E15" s="5" t="s">
        <v>13</v>
      </c>
      <c r="F15" s="5" t="s">
        <v>58</v>
      </c>
      <c r="G15" s="5" t="s">
        <v>59</v>
      </c>
      <c r="H15" s="4" t="s">
        <v>62</v>
      </c>
    </row>
    <row r="16" customFormat="false" ht="32.8" hidden="false" customHeight="false" outlineLevel="0" collapsed="false">
      <c r="A16" s="4" t="s">
        <v>63</v>
      </c>
      <c r="B16" s="5" t="s">
        <v>64</v>
      </c>
      <c r="C16" s="5" t="s">
        <v>57</v>
      </c>
      <c r="D16" s="4" t="s">
        <v>12</v>
      </c>
      <c r="E16" s="5" t="s">
        <v>13</v>
      </c>
      <c r="F16" s="5" t="s">
        <v>65</v>
      </c>
      <c r="G16" s="5" t="s">
        <v>59</v>
      </c>
      <c r="H16" s="5"/>
    </row>
    <row r="17" customFormat="false" ht="32.8" hidden="false" customHeight="false" outlineLevel="0" collapsed="false">
      <c r="A17" s="4" t="s">
        <v>66</v>
      </c>
      <c r="B17" s="4" t="s">
        <v>67</v>
      </c>
      <c r="C17" s="5" t="s">
        <v>57</v>
      </c>
      <c r="D17" s="4" t="s">
        <v>12</v>
      </c>
      <c r="E17" s="5" t="s">
        <v>13</v>
      </c>
      <c r="F17" s="5" t="s">
        <v>65</v>
      </c>
      <c r="G17" s="5" t="s">
        <v>59</v>
      </c>
      <c r="H17" s="5"/>
    </row>
    <row r="18" customFormat="false" ht="32.8" hidden="false" customHeight="false" outlineLevel="0" collapsed="false">
      <c r="A18" s="4" t="s">
        <v>68</v>
      </c>
      <c r="B18" s="5" t="s">
        <v>69</v>
      </c>
      <c r="C18" s="5" t="s">
        <v>57</v>
      </c>
      <c r="D18" s="4" t="s">
        <v>12</v>
      </c>
      <c r="E18" s="5" t="s">
        <v>13</v>
      </c>
      <c r="F18" s="5" t="s">
        <v>58</v>
      </c>
      <c r="G18" s="5" t="s">
        <v>59</v>
      </c>
      <c r="H18" s="5"/>
    </row>
    <row r="19" customFormat="false" ht="32.8" hidden="false" customHeight="false" outlineLevel="0" collapsed="false">
      <c r="A19" s="4" t="s">
        <v>70</v>
      </c>
      <c r="B19" s="4" t="s">
        <v>71</v>
      </c>
      <c r="C19" s="5" t="s">
        <v>57</v>
      </c>
      <c r="D19" s="4" t="s">
        <v>12</v>
      </c>
      <c r="E19" s="5" t="s">
        <v>13</v>
      </c>
      <c r="F19" s="5" t="s">
        <v>72</v>
      </c>
      <c r="G19" s="5" t="s">
        <v>59</v>
      </c>
      <c r="H19" s="4" t="s">
        <v>73</v>
      </c>
    </row>
    <row r="20" customFormat="false" ht="32.8" hidden="false" customHeight="false" outlineLevel="0" collapsed="false">
      <c r="A20" s="4" t="s">
        <v>16</v>
      </c>
      <c r="B20" s="5" t="s">
        <v>74</v>
      </c>
      <c r="C20" s="5" t="s">
        <v>57</v>
      </c>
      <c r="D20" s="4" t="s">
        <v>12</v>
      </c>
      <c r="E20" s="5" t="s">
        <v>13</v>
      </c>
      <c r="F20" s="5" t="s">
        <v>58</v>
      </c>
      <c r="G20" s="5" t="s">
        <v>59</v>
      </c>
      <c r="H20" s="5"/>
    </row>
    <row r="21" customFormat="false" ht="32.8" hidden="false" customHeight="false" outlineLevel="0" collapsed="false">
      <c r="A21" s="4" t="s">
        <v>75</v>
      </c>
      <c r="B21" s="4" t="s">
        <v>76</v>
      </c>
      <c r="C21" s="5" t="s">
        <v>57</v>
      </c>
      <c r="D21" s="4" t="s">
        <v>12</v>
      </c>
      <c r="E21" s="4" t="s">
        <v>41</v>
      </c>
      <c r="F21" s="4" t="s">
        <v>77</v>
      </c>
      <c r="G21" s="5" t="s">
        <v>78</v>
      </c>
      <c r="H21" s="5" t="s">
        <v>79</v>
      </c>
    </row>
    <row r="22" customFormat="false" ht="32.8" hidden="false" customHeight="false" outlineLevel="0" collapsed="false">
      <c r="A22" s="4" t="s">
        <v>80</v>
      </c>
      <c r="B22" s="4" t="s">
        <v>81</v>
      </c>
      <c r="C22" s="5" t="s">
        <v>57</v>
      </c>
      <c r="D22" s="4" t="s">
        <v>12</v>
      </c>
      <c r="E22" s="5" t="s">
        <v>13</v>
      </c>
      <c r="F22" s="5" t="s">
        <v>82</v>
      </c>
      <c r="G22" s="5" t="s">
        <v>59</v>
      </c>
      <c r="H22" s="4" t="s">
        <v>83</v>
      </c>
    </row>
    <row r="23" customFormat="false" ht="32.8" hidden="false" customHeight="false" outlineLevel="0" collapsed="false">
      <c r="A23" s="4" t="s">
        <v>84</v>
      </c>
      <c r="B23" s="4" t="s">
        <v>85</v>
      </c>
      <c r="C23" s="5" t="s">
        <v>57</v>
      </c>
      <c r="D23" s="4" t="s">
        <v>12</v>
      </c>
      <c r="E23" s="5" t="s">
        <v>13</v>
      </c>
      <c r="F23" s="5" t="s">
        <v>82</v>
      </c>
      <c r="G23" s="5" t="s">
        <v>59</v>
      </c>
      <c r="H23" s="5" t="s">
        <v>86</v>
      </c>
    </row>
    <row r="24" customFormat="false" ht="32.8" hidden="false" customHeight="false" outlineLevel="0" collapsed="false">
      <c r="A24" s="4" t="s">
        <v>87</v>
      </c>
      <c r="B24" s="4" t="s">
        <v>88</v>
      </c>
      <c r="C24" s="5" t="s">
        <v>57</v>
      </c>
      <c r="D24" s="4" t="s">
        <v>12</v>
      </c>
      <c r="E24" s="5" t="s">
        <v>13</v>
      </c>
      <c r="F24" s="5" t="s">
        <v>89</v>
      </c>
      <c r="G24" s="5" t="s">
        <v>59</v>
      </c>
      <c r="H24" s="5"/>
    </row>
    <row r="25" customFormat="false" ht="32.8" hidden="false" customHeight="false" outlineLevel="0" collapsed="false">
      <c r="A25" s="4" t="s">
        <v>90</v>
      </c>
      <c r="B25" s="4" t="s">
        <v>91</v>
      </c>
      <c r="C25" s="5" t="s">
        <v>57</v>
      </c>
      <c r="D25" s="4" t="s">
        <v>12</v>
      </c>
      <c r="E25" s="5" t="s">
        <v>13</v>
      </c>
      <c r="F25" s="5" t="s">
        <v>92</v>
      </c>
      <c r="G25" s="5" t="s">
        <v>59</v>
      </c>
      <c r="H25" s="5"/>
    </row>
    <row r="26" customFormat="false" ht="32.8" hidden="false" customHeight="false" outlineLevel="0" collapsed="false">
      <c r="A26" s="4" t="s">
        <v>93</v>
      </c>
      <c r="B26" s="4" t="s">
        <v>94</v>
      </c>
      <c r="C26" s="5" t="s">
        <v>57</v>
      </c>
      <c r="D26" s="4" t="s">
        <v>12</v>
      </c>
      <c r="E26" s="5" t="s">
        <v>13</v>
      </c>
      <c r="F26" s="5" t="s">
        <v>65</v>
      </c>
      <c r="G26" s="5" t="s">
        <v>59</v>
      </c>
      <c r="H26" s="4" t="s">
        <v>95</v>
      </c>
    </row>
    <row r="27" customFormat="false" ht="32.8" hidden="false" customHeight="false" outlineLevel="0" collapsed="false">
      <c r="A27" s="4" t="s">
        <v>96</v>
      </c>
      <c r="B27" s="4" t="s">
        <v>97</v>
      </c>
      <c r="C27" s="5" t="s">
        <v>57</v>
      </c>
      <c r="D27" s="4" t="s">
        <v>12</v>
      </c>
      <c r="E27" s="5" t="s">
        <v>13</v>
      </c>
      <c r="F27" s="5" t="s">
        <v>65</v>
      </c>
      <c r="G27" s="5" t="s">
        <v>59</v>
      </c>
      <c r="H27" s="5"/>
    </row>
    <row r="28" customFormat="false" ht="48.5" hidden="false" customHeight="false" outlineLevel="0" collapsed="false">
      <c r="A28" s="4" t="s">
        <v>98</v>
      </c>
      <c r="B28" s="4" t="s">
        <v>99</v>
      </c>
      <c r="C28" s="5" t="s">
        <v>57</v>
      </c>
      <c r="D28" s="4" t="s">
        <v>12</v>
      </c>
      <c r="E28" s="5" t="s">
        <v>13</v>
      </c>
      <c r="F28" s="5" t="s">
        <v>65</v>
      </c>
      <c r="G28" s="5" t="s">
        <v>59</v>
      </c>
      <c r="H28" s="4" t="s">
        <v>100</v>
      </c>
    </row>
    <row r="29" customFormat="false" ht="64.15" hidden="false" customHeight="false" outlineLevel="0" collapsed="false">
      <c r="A29" s="4" t="s">
        <v>101</v>
      </c>
      <c r="B29" s="5" t="s">
        <v>102</v>
      </c>
      <c r="C29" s="5" t="s">
        <v>57</v>
      </c>
      <c r="D29" s="4" t="s">
        <v>12</v>
      </c>
      <c r="E29" s="5" t="s">
        <v>13</v>
      </c>
      <c r="F29" s="5" t="s">
        <v>65</v>
      </c>
      <c r="G29" s="5" t="s">
        <v>59</v>
      </c>
      <c r="H29" s="4" t="s">
        <v>103</v>
      </c>
    </row>
    <row r="30" customFormat="false" ht="48.5" hidden="false" customHeight="false" outlineLevel="0" collapsed="false">
      <c r="A30" s="4" t="s">
        <v>104</v>
      </c>
      <c r="B30" s="5" t="s">
        <v>105</v>
      </c>
      <c r="C30" s="5" t="s">
        <v>57</v>
      </c>
      <c r="D30" s="4" t="s">
        <v>12</v>
      </c>
      <c r="E30" s="5" t="s">
        <v>13</v>
      </c>
      <c r="F30" s="5" t="s">
        <v>106</v>
      </c>
      <c r="G30" s="5" t="s">
        <v>59</v>
      </c>
      <c r="H30" s="5"/>
    </row>
    <row r="31" customFormat="false" ht="32.8" hidden="false" customHeight="false" outlineLevel="0" collapsed="false">
      <c r="A31" s="4" t="s">
        <v>107</v>
      </c>
      <c r="B31" s="5" t="s">
        <v>108</v>
      </c>
      <c r="C31" s="5" t="s">
        <v>57</v>
      </c>
      <c r="D31" s="4" t="s">
        <v>12</v>
      </c>
      <c r="E31" s="5" t="s">
        <v>13</v>
      </c>
      <c r="F31" s="5" t="s">
        <v>109</v>
      </c>
      <c r="G31" s="5" t="s">
        <v>59</v>
      </c>
      <c r="H31" s="4" t="s">
        <v>110</v>
      </c>
    </row>
    <row r="32" customFormat="false" ht="64.15" hidden="false" customHeight="false" outlineLevel="0" collapsed="false">
      <c r="A32" s="4" t="s">
        <v>111</v>
      </c>
      <c r="B32" s="4" t="s">
        <v>112</v>
      </c>
      <c r="C32" s="5" t="s">
        <v>57</v>
      </c>
      <c r="D32" s="4" t="s">
        <v>12</v>
      </c>
      <c r="E32" s="5" t="s">
        <v>13</v>
      </c>
      <c r="F32" s="5" t="s">
        <v>72</v>
      </c>
      <c r="G32" s="5" t="s">
        <v>59</v>
      </c>
      <c r="H32" s="4" t="s">
        <v>113</v>
      </c>
    </row>
    <row r="33" customFormat="false" ht="32.8" hidden="false" customHeight="false" outlineLevel="0" collapsed="false">
      <c r="A33" s="4" t="s">
        <v>114</v>
      </c>
      <c r="B33" s="4" t="s">
        <v>115</v>
      </c>
      <c r="C33" s="5" t="s">
        <v>57</v>
      </c>
      <c r="D33" s="4" t="s">
        <v>12</v>
      </c>
      <c r="E33" s="5" t="s">
        <v>13</v>
      </c>
      <c r="F33" s="5" t="s">
        <v>72</v>
      </c>
      <c r="G33" s="5" t="s">
        <v>59</v>
      </c>
      <c r="H33" s="5"/>
    </row>
    <row r="34" customFormat="false" ht="32.8" hidden="false" customHeight="false" outlineLevel="0" collapsed="false">
      <c r="A34" s="4" t="s">
        <v>116</v>
      </c>
      <c r="B34" s="4" t="s">
        <v>117</v>
      </c>
      <c r="C34" s="5" t="s">
        <v>57</v>
      </c>
      <c r="D34" s="4" t="s">
        <v>12</v>
      </c>
      <c r="E34" s="5" t="s">
        <v>13</v>
      </c>
      <c r="F34" s="5" t="s">
        <v>118</v>
      </c>
      <c r="G34" s="5" t="s">
        <v>59</v>
      </c>
      <c r="H34" s="5"/>
    </row>
    <row r="35" customFormat="false" ht="32.8" hidden="false" customHeight="false" outlineLevel="0" collapsed="false">
      <c r="A35" s="4" t="s">
        <v>119</v>
      </c>
      <c r="B35" s="5" t="s">
        <v>120</v>
      </c>
      <c r="C35" s="5" t="s">
        <v>57</v>
      </c>
      <c r="D35" s="4" t="s">
        <v>12</v>
      </c>
      <c r="E35" s="5" t="s">
        <v>13</v>
      </c>
      <c r="F35" s="5" t="s">
        <v>72</v>
      </c>
      <c r="G35" s="5" t="s">
        <v>59</v>
      </c>
      <c r="H35" s="5"/>
    </row>
    <row r="36" customFormat="false" ht="32.8" hidden="false" customHeight="false" outlineLevel="0" collapsed="false">
      <c r="A36" s="4" t="s">
        <v>121</v>
      </c>
      <c r="B36" s="4" t="s">
        <v>122</v>
      </c>
      <c r="C36" s="5" t="s">
        <v>57</v>
      </c>
      <c r="D36" s="4" t="s">
        <v>12</v>
      </c>
      <c r="E36" s="5" t="s">
        <v>13</v>
      </c>
      <c r="F36" s="5" t="s">
        <v>123</v>
      </c>
      <c r="G36" s="5" t="s">
        <v>59</v>
      </c>
      <c r="H36" s="5"/>
    </row>
    <row r="37" customFormat="false" ht="32.8" hidden="false" customHeight="false" outlineLevel="0" collapsed="false">
      <c r="A37" s="4" t="s">
        <v>124</v>
      </c>
      <c r="B37" s="4" t="s">
        <v>125</v>
      </c>
      <c r="C37" s="5" t="s">
        <v>57</v>
      </c>
      <c r="D37" s="4" t="s">
        <v>12</v>
      </c>
      <c r="E37" s="5" t="s">
        <v>13</v>
      </c>
      <c r="F37" s="5" t="s">
        <v>72</v>
      </c>
      <c r="G37" s="5" t="s">
        <v>59</v>
      </c>
      <c r="H37" s="5"/>
    </row>
    <row r="38" customFormat="false" ht="48.5" hidden="false" customHeight="false" outlineLevel="0" collapsed="false">
      <c r="A38" s="4" t="s">
        <v>126</v>
      </c>
      <c r="B38" s="4" t="s">
        <v>127</v>
      </c>
      <c r="C38" s="5" t="s">
        <v>57</v>
      </c>
      <c r="D38" s="4" t="s">
        <v>12</v>
      </c>
      <c r="E38" s="5" t="s">
        <v>13</v>
      </c>
      <c r="F38" s="5" t="s">
        <v>128</v>
      </c>
      <c r="G38" s="5" t="s">
        <v>59</v>
      </c>
      <c r="H38" s="5"/>
    </row>
    <row r="39" customFormat="false" ht="32.8" hidden="false" customHeight="false" outlineLevel="0" collapsed="false">
      <c r="A39" s="4" t="s">
        <v>129</v>
      </c>
      <c r="B39" s="4" t="s">
        <v>130</v>
      </c>
      <c r="C39" s="5" t="s">
        <v>57</v>
      </c>
      <c r="D39" s="4" t="s">
        <v>12</v>
      </c>
      <c r="E39" s="5" t="s">
        <v>13</v>
      </c>
      <c r="F39" s="5" t="s">
        <v>131</v>
      </c>
      <c r="G39" s="5" t="s">
        <v>59</v>
      </c>
      <c r="H39" s="4" t="s">
        <v>132</v>
      </c>
    </row>
    <row r="40" customFormat="false" ht="32.8" hidden="false" customHeight="false" outlineLevel="0" collapsed="false">
      <c r="A40" s="4" t="s">
        <v>133</v>
      </c>
      <c r="B40" s="4" t="s">
        <v>134</v>
      </c>
      <c r="C40" s="5" t="s">
        <v>57</v>
      </c>
      <c r="D40" s="4" t="s">
        <v>12</v>
      </c>
      <c r="E40" s="5" t="s">
        <v>13</v>
      </c>
      <c r="F40" s="5" t="s">
        <v>135</v>
      </c>
      <c r="G40" s="5" t="s">
        <v>59</v>
      </c>
      <c r="H40" s="5"/>
    </row>
    <row r="41" customFormat="false" ht="32.8" hidden="false" customHeight="false" outlineLevel="0" collapsed="false">
      <c r="A41" s="4" t="s">
        <v>136</v>
      </c>
      <c r="B41" s="4" t="s">
        <v>137</v>
      </c>
      <c r="C41" s="5" t="s">
        <v>57</v>
      </c>
      <c r="D41" s="4" t="s">
        <v>138</v>
      </c>
      <c r="E41" s="5" t="s">
        <v>13</v>
      </c>
      <c r="F41" s="5" t="s">
        <v>139</v>
      </c>
      <c r="G41" s="5" t="s">
        <v>59</v>
      </c>
      <c r="H41" s="5"/>
    </row>
    <row r="42" customFormat="false" ht="48.5" hidden="false" customHeight="false" outlineLevel="0" collapsed="false">
      <c r="A42" s="4" t="s">
        <v>140</v>
      </c>
      <c r="B42" s="4" t="s">
        <v>141</v>
      </c>
      <c r="C42" s="5" t="s">
        <v>142</v>
      </c>
      <c r="D42" s="4" t="s">
        <v>12</v>
      </c>
      <c r="E42" s="5" t="s">
        <v>13</v>
      </c>
      <c r="F42" s="5" t="s">
        <v>143</v>
      </c>
      <c r="G42" s="5" t="s">
        <v>144</v>
      </c>
      <c r="H42" s="5"/>
    </row>
    <row r="43" customFormat="false" ht="48.5" hidden="false" customHeight="false" outlineLevel="0" collapsed="false">
      <c r="A43" s="4" t="s">
        <v>145</v>
      </c>
      <c r="B43" s="5" t="s">
        <v>146</v>
      </c>
      <c r="C43" s="5" t="s">
        <v>147</v>
      </c>
      <c r="D43" s="4" t="s">
        <v>12</v>
      </c>
      <c r="E43" s="5" t="s">
        <v>13</v>
      </c>
      <c r="F43" s="5" t="s">
        <v>148</v>
      </c>
      <c r="G43" s="5" t="s">
        <v>144</v>
      </c>
      <c r="H43" s="5"/>
    </row>
    <row r="44" customFormat="false" ht="48.5" hidden="false" customHeight="false" outlineLevel="0" collapsed="false">
      <c r="A44" s="4" t="s">
        <v>149</v>
      </c>
      <c r="B44" s="4" t="s">
        <v>150</v>
      </c>
      <c r="C44" s="5" t="s">
        <v>142</v>
      </c>
      <c r="D44" s="4" t="s">
        <v>12</v>
      </c>
      <c r="E44" s="5" t="s">
        <v>13</v>
      </c>
      <c r="F44" s="5" t="s">
        <v>151</v>
      </c>
      <c r="G44" s="5" t="s">
        <v>144</v>
      </c>
      <c r="H44" s="5"/>
    </row>
    <row r="45" customFormat="false" ht="48.5" hidden="false" customHeight="false" outlineLevel="0" collapsed="false">
      <c r="A45" s="4" t="s">
        <v>152</v>
      </c>
      <c r="B45" s="4" t="s">
        <v>153</v>
      </c>
      <c r="C45" s="5" t="s">
        <v>154</v>
      </c>
      <c r="D45" s="4" t="s">
        <v>12</v>
      </c>
      <c r="E45" s="5" t="s">
        <v>13</v>
      </c>
      <c r="F45" s="5" t="s">
        <v>155</v>
      </c>
      <c r="G45" s="5" t="s">
        <v>144</v>
      </c>
      <c r="H45" s="5"/>
    </row>
    <row r="46" customFormat="false" ht="48.5" hidden="false" customHeight="false" outlineLevel="0" collapsed="false">
      <c r="A46" s="4" t="s">
        <v>156</v>
      </c>
      <c r="B46" s="5" t="s">
        <v>157</v>
      </c>
      <c r="C46" s="5" t="s">
        <v>158</v>
      </c>
      <c r="D46" s="4" t="s">
        <v>12</v>
      </c>
      <c r="E46" s="5" t="s">
        <v>13</v>
      </c>
      <c r="F46" s="5" t="s">
        <v>159</v>
      </c>
      <c r="G46" s="5" t="s">
        <v>144</v>
      </c>
      <c r="H46" s="4" t="s">
        <v>160</v>
      </c>
    </row>
    <row r="47" customFormat="false" ht="48.5" hidden="false" customHeight="false" outlineLevel="0" collapsed="false">
      <c r="A47" s="4" t="s">
        <v>161</v>
      </c>
      <c r="B47" s="4" t="s">
        <v>162</v>
      </c>
      <c r="C47" s="5" t="s">
        <v>163</v>
      </c>
      <c r="D47" s="4" t="s">
        <v>12</v>
      </c>
      <c r="E47" s="5" t="s">
        <v>13</v>
      </c>
      <c r="F47" s="5" t="s">
        <v>159</v>
      </c>
      <c r="G47" s="5" t="s">
        <v>144</v>
      </c>
      <c r="H47" s="5"/>
    </row>
    <row r="48" customFormat="false" ht="48.5" hidden="false" customHeight="false" outlineLevel="0" collapsed="false">
      <c r="A48" s="4" t="s">
        <v>70</v>
      </c>
      <c r="B48" s="5" t="s">
        <v>164</v>
      </c>
      <c r="C48" s="5" t="s">
        <v>163</v>
      </c>
      <c r="D48" s="4" t="s">
        <v>12</v>
      </c>
      <c r="E48" s="5" t="s">
        <v>13</v>
      </c>
      <c r="F48" s="5" t="s">
        <v>159</v>
      </c>
      <c r="G48" s="5" t="s">
        <v>144</v>
      </c>
      <c r="H48" s="5"/>
    </row>
    <row r="49" customFormat="false" ht="48.5" hidden="false" customHeight="false" outlineLevel="0" collapsed="false">
      <c r="A49" s="4" t="s">
        <v>165</v>
      </c>
      <c r="B49" s="4" t="s">
        <v>166</v>
      </c>
      <c r="C49" s="5" t="s">
        <v>163</v>
      </c>
      <c r="D49" s="4" t="s">
        <v>12</v>
      </c>
      <c r="E49" s="5" t="s">
        <v>13</v>
      </c>
      <c r="F49" s="5" t="s">
        <v>159</v>
      </c>
      <c r="G49" s="5" t="s">
        <v>144</v>
      </c>
      <c r="H49" s="5"/>
    </row>
    <row r="50" customFormat="false" ht="48.5" hidden="false" customHeight="false" outlineLevel="0" collapsed="false">
      <c r="A50" s="4" t="s">
        <v>167</v>
      </c>
      <c r="B50" s="4" t="s">
        <v>168</v>
      </c>
      <c r="C50" s="5" t="s">
        <v>142</v>
      </c>
      <c r="D50" s="4" t="s">
        <v>12</v>
      </c>
      <c r="E50" s="5" t="s">
        <v>13</v>
      </c>
      <c r="F50" s="5" t="s">
        <v>169</v>
      </c>
      <c r="G50" s="5" t="s">
        <v>144</v>
      </c>
      <c r="H50" s="5"/>
    </row>
    <row r="51" customFormat="false" ht="48.5" hidden="false" customHeight="false" outlineLevel="0" collapsed="false">
      <c r="A51" s="4" t="s">
        <v>170</v>
      </c>
      <c r="B51" s="5" t="s">
        <v>171</v>
      </c>
      <c r="C51" s="5" t="s">
        <v>163</v>
      </c>
      <c r="D51" s="4" t="s">
        <v>12</v>
      </c>
      <c r="E51" s="5" t="s">
        <v>13</v>
      </c>
      <c r="F51" s="5" t="s">
        <v>172</v>
      </c>
      <c r="G51" s="5" t="s">
        <v>144</v>
      </c>
      <c r="H51" s="5"/>
    </row>
    <row r="52" customFormat="false" ht="48.5" hidden="false" customHeight="false" outlineLevel="0" collapsed="false">
      <c r="A52" s="4" t="s">
        <v>173</v>
      </c>
      <c r="B52" s="4" t="s">
        <v>174</v>
      </c>
      <c r="C52" s="5" t="s">
        <v>142</v>
      </c>
      <c r="D52" s="4" t="s">
        <v>12</v>
      </c>
      <c r="E52" s="5" t="s">
        <v>13</v>
      </c>
      <c r="F52" s="5" t="s">
        <v>175</v>
      </c>
      <c r="G52" s="5" t="s">
        <v>144</v>
      </c>
      <c r="H52" s="5"/>
    </row>
    <row r="53" customFormat="false" ht="111.15" hidden="false" customHeight="false" outlineLevel="0" collapsed="false">
      <c r="A53" s="4" t="s">
        <v>176</v>
      </c>
      <c r="B53" s="4" t="s">
        <v>177</v>
      </c>
      <c r="C53" s="5" t="s">
        <v>178</v>
      </c>
      <c r="D53" s="4" t="s">
        <v>179</v>
      </c>
      <c r="E53" s="4" t="s">
        <v>180</v>
      </c>
      <c r="F53" s="5" t="s">
        <v>181</v>
      </c>
      <c r="G53" s="5" t="s">
        <v>182</v>
      </c>
      <c r="H53" s="4" t="s">
        <v>183</v>
      </c>
    </row>
    <row r="54" customFormat="false" ht="79.85" hidden="false" customHeight="false" outlineLevel="0" collapsed="false">
      <c r="A54" s="4" t="s">
        <v>184</v>
      </c>
      <c r="B54" s="4" t="s">
        <v>185</v>
      </c>
      <c r="C54" s="5" t="s">
        <v>186</v>
      </c>
      <c r="D54" s="4" t="s">
        <v>187</v>
      </c>
      <c r="E54" s="4" t="s">
        <v>180</v>
      </c>
      <c r="F54" s="5" t="s">
        <v>188</v>
      </c>
      <c r="G54" s="5" t="s">
        <v>189</v>
      </c>
      <c r="H54" s="4" t="s">
        <v>190</v>
      </c>
    </row>
  </sheetData>
  <autoFilter ref="A3:H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14" min="4" style="0" width="13"/>
  </cols>
  <sheetData>
    <row r="1" customFormat="false" ht="20.1" hidden="false" customHeight="false" outlineLevel="0" collapsed="false">
      <c r="A1" s="1" t="s">
        <v>191</v>
      </c>
    </row>
    <row r="2" customFormat="false" ht="17.15" hidden="false" customHeight="false" outlineLevel="0" collapsed="false">
      <c r="A2" s="6" t="s">
        <v>192</v>
      </c>
    </row>
    <row r="3" customFormat="false" ht="15" hidden="false" customHeight="false" outlineLevel="0" collapsed="false">
      <c r="A3" s="7" t="s">
        <v>193</v>
      </c>
    </row>
    <row r="4" customFormat="false" ht="17.15" hidden="false" customHeight="false" outlineLevel="0" collapsed="false">
      <c r="A4" s="6" t="s">
        <v>194</v>
      </c>
      <c r="B4" s="8" t="n">
        <v>2100</v>
      </c>
      <c r="C4" s="9" t="s">
        <v>195</v>
      </c>
    </row>
    <row r="5" customFormat="false" ht="17.15" hidden="false" customHeight="false" outlineLevel="0" collapsed="false">
      <c r="A5" s="6" t="s">
        <v>196</v>
      </c>
      <c r="B5" s="8" t="n">
        <v>21.75</v>
      </c>
      <c r="C5" s="6" t="s">
        <v>197</v>
      </c>
    </row>
    <row r="6" customFormat="false" ht="15" hidden="false" customHeight="false" outlineLevel="0" collapsed="false">
      <c r="A6" s="6" t="s">
        <v>198</v>
      </c>
      <c r="B6" s="8" t="n">
        <v>8</v>
      </c>
      <c r="C6" s="6" t="s">
        <v>199</v>
      </c>
    </row>
    <row r="7" customFormat="false" ht="17.15" hidden="false" customHeight="false" outlineLevel="0" collapsed="false">
      <c r="A7" s="6" t="s">
        <v>200</v>
      </c>
      <c r="B7" s="8" t="n">
        <v>1.5</v>
      </c>
      <c r="C7" s="6" t="s">
        <v>201</v>
      </c>
    </row>
    <row r="8" customFormat="false" ht="17.15" hidden="false" customHeight="false" outlineLevel="0" collapsed="false">
      <c r="A8" s="6" t="s">
        <v>202</v>
      </c>
      <c r="B8" s="8" t="n">
        <v>2</v>
      </c>
      <c r="C8" s="6" t="s">
        <v>201</v>
      </c>
    </row>
    <row r="9" customFormat="false" ht="17.15" hidden="false" customHeight="false" outlineLevel="0" collapsed="false">
      <c r="A9" s="6" t="s">
        <v>203</v>
      </c>
      <c r="B9" s="8" t="n">
        <v>3</v>
      </c>
      <c r="C9" s="6" t="s">
        <v>201</v>
      </c>
    </row>
    <row r="10" customFormat="false" ht="17.15" hidden="false" customHeight="false" outlineLevel="0" collapsed="false">
      <c r="A10" s="6" t="s">
        <v>204</v>
      </c>
      <c r="B10" s="8" t="n">
        <v>348</v>
      </c>
      <c r="C10" s="9" t="s">
        <v>65</v>
      </c>
    </row>
    <row r="12" customFormat="false" ht="17.15" hidden="false" customHeight="false" outlineLevel="0" collapsed="false">
      <c r="A12" s="6" t="s">
        <v>205</v>
      </c>
      <c r="B12" s="8" t="n">
        <v>25</v>
      </c>
      <c r="C12" s="9" t="s">
        <v>206</v>
      </c>
    </row>
    <row r="13" customFormat="false" ht="17.15" hidden="false" customHeight="false" outlineLevel="0" collapsed="false">
      <c r="A13" s="6" t="s">
        <v>207</v>
      </c>
      <c r="B13" s="8" t="n">
        <v>12</v>
      </c>
      <c r="C13" s="9" t="s">
        <v>65</v>
      </c>
    </row>
    <row r="15" customFormat="false" ht="15" hidden="false" customHeight="false" outlineLevel="0" collapsed="false">
      <c r="A15" s="7" t="s">
        <v>208</v>
      </c>
    </row>
    <row r="16" customFormat="false" ht="17.15" hidden="false" customHeight="false" outlineLevel="0" collapsed="false">
      <c r="A16" s="6" t="s">
        <v>209</v>
      </c>
      <c r="B16" s="10" t="n">
        <f aca="false">B4/B5/B6</f>
        <v>12.0689655172414</v>
      </c>
    </row>
    <row r="17" customFormat="false" ht="15" hidden="false" customHeight="false" outlineLevel="0" collapsed="false">
      <c r="A17" s="6" t="s">
        <v>210</v>
      </c>
      <c r="B17" s="10" t="n">
        <f aca="false">B16*B7</f>
        <v>18.1034482758621</v>
      </c>
    </row>
    <row r="18" customFormat="false" ht="15" hidden="false" customHeight="false" outlineLevel="0" collapsed="false">
      <c r="A18" s="6" t="s">
        <v>211</v>
      </c>
      <c r="B18" s="10" t="n">
        <f aca="false">B16*B8</f>
        <v>24.1379310344828</v>
      </c>
    </row>
    <row r="19" customFormat="false" ht="15" hidden="false" customHeight="false" outlineLevel="0" collapsed="false">
      <c r="A19" s="6" t="s">
        <v>212</v>
      </c>
      <c r="B19" s="10" t="n">
        <f aca="false">B16*B9</f>
        <v>36.2068965517241</v>
      </c>
    </row>
    <row r="20" customFormat="false" ht="17.15" hidden="false" customHeight="false" outlineLevel="0" collapsed="false">
      <c r="A20" s="6" t="s">
        <v>213</v>
      </c>
      <c r="B20" s="10" t="n">
        <f aca="false">B12-B13</f>
        <v>13</v>
      </c>
    </row>
    <row r="22" customFormat="false" ht="17.15" hidden="false" customHeight="false" outlineLevel="0" collapsed="false">
      <c r="A22" s="7" t="s">
        <v>214</v>
      </c>
    </row>
    <row r="23" customFormat="false" ht="32.8" hidden="false" customHeight="false" outlineLevel="0" collapsed="false">
      <c r="A23" s="2" t="s">
        <v>215</v>
      </c>
      <c r="B23" s="2" t="s">
        <v>216</v>
      </c>
      <c r="C23" s="2" t="s">
        <v>217</v>
      </c>
      <c r="D23" s="2" t="s">
        <v>218</v>
      </c>
      <c r="E23" s="2" t="s">
        <v>219</v>
      </c>
      <c r="F23" s="2" t="s">
        <v>220</v>
      </c>
      <c r="G23" s="2" t="s">
        <v>221</v>
      </c>
      <c r="H23" s="2" t="s">
        <v>222</v>
      </c>
      <c r="I23" s="2" t="s">
        <v>223</v>
      </c>
      <c r="J23" s="2" t="s">
        <v>224</v>
      </c>
      <c r="K23" s="2" t="s">
        <v>225</v>
      </c>
      <c r="L23" s="2" t="s">
        <v>226</v>
      </c>
      <c r="M23" s="2" t="s">
        <v>227</v>
      </c>
      <c r="N23" s="2" t="s">
        <v>228</v>
      </c>
    </row>
    <row r="24" customFormat="false" ht="17.15" hidden="false" customHeight="false" outlineLevel="0" collapsed="false">
      <c r="A24" s="6" t="s">
        <v>229</v>
      </c>
      <c r="B24" s="11" t="n">
        <v>174</v>
      </c>
      <c r="C24" s="11" t="n">
        <v>17.3</v>
      </c>
      <c r="D24" s="11" t="n">
        <v>34.7</v>
      </c>
      <c r="E24" s="11" t="n">
        <v>0</v>
      </c>
      <c r="F24" s="12" t="n">
        <f aca="false">SUM(B24:E24)</f>
        <v>226</v>
      </c>
      <c r="G24" s="13" t="n">
        <f aca="false">B24*$B$16+C24*$B$17+D24*$B$18+E24*$B$19</f>
        <v>3250.77586206897</v>
      </c>
      <c r="H24" s="13" t="n">
        <f aca="false">G24-$B$10</f>
        <v>2902.77586206897</v>
      </c>
      <c r="I24" s="12" t="n">
        <f aca="false">IF(F24=0,0,G24/F24)</f>
        <v>14.3839639914556</v>
      </c>
      <c r="J24" s="13" t="n">
        <f aca="false">F24*$B$12</f>
        <v>5650</v>
      </c>
      <c r="K24" s="13" t="n">
        <f aca="false">F24*$B$13</f>
        <v>2712</v>
      </c>
      <c r="L24" s="13" t="n">
        <f aca="false">F24*$B$20</f>
        <v>2938</v>
      </c>
      <c r="M24" s="14" t="n">
        <f aca="false">IF(G24=0,0,J24/G24)</f>
        <v>1.73804662017025</v>
      </c>
      <c r="N24" s="13" t="n">
        <f aca="false">J24-G24</f>
        <v>2399.22413793103</v>
      </c>
    </row>
    <row r="25" customFormat="false" ht="17.15" hidden="false" customHeight="false" outlineLevel="0" collapsed="false">
      <c r="A25" s="6" t="s">
        <v>230</v>
      </c>
      <c r="B25" s="11" t="n">
        <v>174</v>
      </c>
      <c r="C25" s="11" t="n">
        <v>43.5</v>
      </c>
      <c r="D25" s="11" t="n">
        <v>43.3</v>
      </c>
      <c r="E25" s="11" t="n">
        <v>0</v>
      </c>
      <c r="F25" s="12" t="n">
        <f aca="false">SUM(B25:E25)</f>
        <v>260.8</v>
      </c>
      <c r="G25" s="13" t="n">
        <f aca="false">B25*$B$16+C25*$B$17+D25*$B$18+E25*$B$19</f>
        <v>3932.6724137931</v>
      </c>
      <c r="H25" s="13" t="n">
        <f aca="false">G25-$B$10</f>
        <v>3584.6724137931</v>
      </c>
      <c r="I25" s="12" t="n">
        <f aca="false">IF(F25=0,0,G25/F25)</f>
        <v>15.079265390311</v>
      </c>
      <c r="J25" s="13" t="n">
        <f aca="false">F25*$B$12</f>
        <v>6520</v>
      </c>
      <c r="K25" s="13" t="n">
        <f aca="false">F25*$B$13</f>
        <v>3129.6</v>
      </c>
      <c r="L25" s="13" t="n">
        <f aca="false">F25*$B$20</f>
        <v>3390.4</v>
      </c>
      <c r="M25" s="14" t="n">
        <f aca="false">IF(G25=0,0,J25/G25)</f>
        <v>1.65790569718758</v>
      </c>
      <c r="N25" s="13" t="n">
        <f aca="false">J25-G25</f>
        <v>2587.3275862069</v>
      </c>
    </row>
    <row r="26" customFormat="false" ht="17.15" hidden="false" customHeight="false" outlineLevel="0" collapsed="false">
      <c r="A26" s="6" t="s">
        <v>231</v>
      </c>
      <c r="B26" s="11" t="n">
        <v>174</v>
      </c>
      <c r="C26" s="11" t="n">
        <v>43.5</v>
      </c>
      <c r="D26" s="11" t="n">
        <v>86.5</v>
      </c>
      <c r="E26" s="11" t="n">
        <v>0</v>
      </c>
      <c r="F26" s="12" t="n">
        <f aca="false">SUM(B26:E26)</f>
        <v>304</v>
      </c>
      <c r="G26" s="13" t="n">
        <f aca="false">B26*$B$16+C26*$B$17+D26*$B$18+E26*$B$19</f>
        <v>4975.43103448276</v>
      </c>
      <c r="H26" s="13" t="n">
        <f aca="false">G26-$B$10</f>
        <v>4627.43103448276</v>
      </c>
      <c r="I26" s="12" t="n">
        <f aca="false">IF(F26=0,0,G26/F26)</f>
        <v>16.3665494555354</v>
      </c>
      <c r="J26" s="13" t="n">
        <f aca="false">F26*$B$12</f>
        <v>7600</v>
      </c>
      <c r="K26" s="13" t="n">
        <f aca="false">F26*$B$13</f>
        <v>3648</v>
      </c>
      <c r="L26" s="13" t="n">
        <f aca="false">F26*$B$20</f>
        <v>3952</v>
      </c>
      <c r="M26" s="14" t="n">
        <f aca="false">IF(G26=0,0,J26/G26)</f>
        <v>1.5275058476999</v>
      </c>
      <c r="N26" s="13" t="n">
        <f aca="false">J26-G26</f>
        <v>2624.56896551724</v>
      </c>
    </row>
    <row r="27" customFormat="false" ht="15" hidden="false" customHeight="false" outlineLevel="0" collapsed="false">
      <c r="A27" s="6" t="s">
        <v>232</v>
      </c>
      <c r="B27" s="11" t="n">
        <v>174</v>
      </c>
      <c r="C27" s="11" t="n">
        <v>20</v>
      </c>
      <c r="D27" s="11" t="n">
        <v>40</v>
      </c>
      <c r="E27" s="11" t="n">
        <v>0</v>
      </c>
      <c r="F27" s="12" t="n">
        <f aca="false">SUM(B27:E27)</f>
        <v>234</v>
      </c>
      <c r="G27" s="13" t="n">
        <f aca="false">B27*$B$16+C27*$B$17+D27*$B$18+E27*$B$19</f>
        <v>3427.58620689655</v>
      </c>
      <c r="H27" s="13" t="n">
        <f aca="false">G27-$B$10</f>
        <v>3079.58620689655</v>
      </c>
      <c r="I27" s="12" t="n">
        <f aca="false">IF(F27=0,0,G27/F27)</f>
        <v>14.6478043029767</v>
      </c>
      <c r="J27" s="13" t="n">
        <f aca="false">F27*$B$12</f>
        <v>5850</v>
      </c>
      <c r="K27" s="13" t="n">
        <f aca="false">F27*$B$13</f>
        <v>2808</v>
      </c>
      <c r="L27" s="13" t="n">
        <f aca="false">F27*$B$20</f>
        <v>3042</v>
      </c>
      <c r="M27" s="14" t="n">
        <f aca="false">IF(G27=0,0,J27/G27)</f>
        <v>1.70674044265594</v>
      </c>
      <c r="N27" s="13" t="n">
        <f aca="false">J27-G27</f>
        <v>2422.41379310345</v>
      </c>
    </row>
    <row r="28" customFormat="false" ht="64.15" hidden="false" customHeight="false" outlineLevel="0" collapsed="false">
      <c r="A28" s="4" t="s">
        <v>233</v>
      </c>
    </row>
    <row r="30" customFormat="false" ht="17.15" hidden="false" customHeight="false" outlineLevel="0" collapsed="false">
      <c r="A30" s="7" t="s">
        <v>234</v>
      </c>
    </row>
    <row r="31" customFormat="false" ht="32.8" hidden="false" customHeight="false" outlineLevel="0" collapsed="false">
      <c r="A31" s="2" t="s">
        <v>215</v>
      </c>
      <c r="B31" s="2" t="s">
        <v>216</v>
      </c>
      <c r="C31" s="2" t="s">
        <v>217</v>
      </c>
      <c r="D31" s="2" t="s">
        <v>218</v>
      </c>
      <c r="E31" s="2" t="s">
        <v>219</v>
      </c>
      <c r="F31" s="2" t="s">
        <v>220</v>
      </c>
      <c r="G31" s="2" t="s">
        <v>221</v>
      </c>
      <c r="H31" s="2" t="s">
        <v>222</v>
      </c>
      <c r="I31" s="2" t="s">
        <v>223</v>
      </c>
      <c r="J31" s="2" t="s">
        <v>224</v>
      </c>
      <c r="K31" s="2" t="s">
        <v>225</v>
      </c>
      <c r="L31" s="2" t="s">
        <v>226</v>
      </c>
      <c r="M31" s="2" t="s">
        <v>227</v>
      </c>
      <c r="N31" s="2" t="s">
        <v>228</v>
      </c>
    </row>
    <row r="32" customFormat="false" ht="15" hidden="false" customHeight="false" outlineLevel="0" collapsed="false">
      <c r="A32" s="6" t="s">
        <v>235</v>
      </c>
      <c r="B32" s="11" t="n">
        <v>40</v>
      </c>
      <c r="C32" s="11" t="n">
        <v>10</v>
      </c>
      <c r="D32" s="11" t="n">
        <v>10</v>
      </c>
      <c r="E32" s="11" t="n">
        <v>0</v>
      </c>
      <c r="F32" s="12" t="n">
        <f aca="false">SUM(B32:E32)</f>
        <v>60</v>
      </c>
      <c r="G32" s="13" t="n">
        <f aca="false">B32*$B$16+C32*$B$17+D32*$B$18+E32*$B$19</f>
        <v>905.172413793103</v>
      </c>
      <c r="H32" s="13" t="n">
        <f aca="false">G32-$B$10*12/52</f>
        <v>824.864721485411</v>
      </c>
      <c r="I32" s="12" t="n">
        <f aca="false">IF(F32=0,0,G32/F32)</f>
        <v>15.0862068965517</v>
      </c>
      <c r="J32" s="13" t="n">
        <f aca="false">F32*$B$12</f>
        <v>1500</v>
      </c>
      <c r="K32" s="13" t="n">
        <f aca="false">F32*$B$13</f>
        <v>720</v>
      </c>
      <c r="L32" s="13" t="n">
        <f aca="false">F32*$B$20</f>
        <v>780</v>
      </c>
      <c r="M32" s="14" t="n">
        <f aca="false">IF(G32=0,0,J32/G32)</f>
        <v>1.65714285714286</v>
      </c>
      <c r="N32" s="13" t="n">
        <f aca="false">J32-G32</f>
        <v>594.827586206897</v>
      </c>
    </row>
    <row r="33" customFormat="false" ht="15" hidden="false" customHeight="false" outlineLevel="0" collapsed="false">
      <c r="A33" s="6" t="s">
        <v>232</v>
      </c>
      <c r="B33" s="11" t="n">
        <v>40</v>
      </c>
      <c r="C33" s="11" t="n">
        <v>5</v>
      </c>
      <c r="D33" s="11" t="n">
        <v>8</v>
      </c>
      <c r="E33" s="11" t="n">
        <v>0</v>
      </c>
      <c r="F33" s="12" t="n">
        <f aca="false">SUM(B33:E33)</f>
        <v>53</v>
      </c>
      <c r="G33" s="13" t="n">
        <f aca="false">B33*$B$16+C33*$B$17+D33*$B$18+E33*$B$19</f>
        <v>766.379310344828</v>
      </c>
      <c r="H33" s="13" t="n">
        <f aca="false">G33-$B$10*12/52</f>
        <v>686.071618037135</v>
      </c>
      <c r="I33" s="12" t="n">
        <f aca="false">IF(F33=0,0,G33/F33)</f>
        <v>14.4599869876383</v>
      </c>
      <c r="J33" s="13" t="n">
        <f aca="false">F33*$B$12</f>
        <v>1325</v>
      </c>
      <c r="K33" s="13" t="n">
        <f aca="false">F33*$B$13</f>
        <v>636</v>
      </c>
      <c r="L33" s="13" t="n">
        <f aca="false">F33*$B$20</f>
        <v>689</v>
      </c>
      <c r="M33" s="14" t="n">
        <f aca="false">IF(G33=0,0,J33/G33)</f>
        <v>1.7289088863892</v>
      </c>
      <c r="N33" s="13" t="n">
        <f aca="false">J33-G33</f>
        <v>558.620689655172</v>
      </c>
    </row>
    <row r="34" customFormat="false" ht="17.15" hidden="false" customHeight="false" outlineLevel="0" collapsed="false">
      <c r="A34" s="4" t="s">
        <v>236</v>
      </c>
    </row>
    <row r="36" customFormat="false" ht="15" hidden="false" customHeight="false" outlineLevel="0" collapsed="false">
      <c r="A36" s="15" t="s">
        <v>237</v>
      </c>
    </row>
    <row r="37" customFormat="false" ht="17.15" hidden="false" customHeight="false" outlineLevel="0" collapsed="false">
      <c r="A37" s="16" t="s">
        <v>238</v>
      </c>
    </row>
    <row r="38" customFormat="false" ht="17.15" hidden="false" customHeight="false" outlineLevel="0" collapsed="false">
      <c r="A38" s="16" t="s">
        <v>239</v>
      </c>
    </row>
    <row r="39" customFormat="false" ht="17.15" hidden="false" customHeight="false" outlineLevel="0" collapsed="false">
      <c r="A39" s="16" t="s">
        <v>240</v>
      </c>
    </row>
    <row r="40" customFormat="false" ht="17.15" hidden="false" customHeight="false" outlineLevel="0" collapsed="false">
      <c r="A40" s="16" t="s">
        <v>241</v>
      </c>
    </row>
    <row r="41" customFormat="false" ht="17.15" hidden="false" customHeight="false" outlineLevel="0" collapsed="false">
      <c r="A41" s="16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4" min="2" style="0" width="34"/>
    <col collapsed="false" customWidth="true" hidden="false" outlineLevel="0" max="5" min="5" style="0" width="20"/>
  </cols>
  <sheetData>
    <row r="1" customFormat="false" ht="20.1" hidden="false" customHeight="false" outlineLevel="0" collapsed="false">
      <c r="A1" s="1" t="s">
        <v>243</v>
      </c>
    </row>
    <row r="3" customFormat="false" ht="17.15" hidden="false" customHeight="false" outlineLevel="0" collapsed="false">
      <c r="A3" s="17"/>
      <c r="B3" s="18" t="s">
        <v>244</v>
      </c>
      <c r="C3" s="18" t="s">
        <v>245</v>
      </c>
      <c r="D3" s="18" t="s">
        <v>246</v>
      </c>
      <c r="E3" s="18" t="s">
        <v>107</v>
      </c>
    </row>
    <row r="4" customFormat="false" ht="17.15" hidden="false" customHeight="false" outlineLevel="0" collapsed="false">
      <c r="A4" s="18" t="s">
        <v>247</v>
      </c>
      <c r="B4" s="4" t="s">
        <v>248</v>
      </c>
      <c r="C4" s="4" t="s">
        <v>249</v>
      </c>
      <c r="D4" s="4" t="s">
        <v>249</v>
      </c>
      <c r="E4" s="4" t="s">
        <v>250</v>
      </c>
    </row>
    <row r="5" customFormat="false" ht="32.8" hidden="false" customHeight="false" outlineLevel="0" collapsed="false">
      <c r="A5" s="18" t="s">
        <v>9</v>
      </c>
      <c r="B5" s="4" t="s">
        <v>251</v>
      </c>
      <c r="C5" s="4" t="s">
        <v>252</v>
      </c>
      <c r="D5" s="4" t="s">
        <v>253</v>
      </c>
      <c r="E5" s="5" t="s">
        <v>254</v>
      </c>
    </row>
    <row r="6" customFormat="false" ht="32.8" hidden="false" customHeight="false" outlineLevel="0" collapsed="false">
      <c r="A6" s="18" t="s">
        <v>255</v>
      </c>
      <c r="B6" s="4" t="s">
        <v>256</v>
      </c>
      <c r="C6" s="4" t="s">
        <v>257</v>
      </c>
      <c r="D6" s="4" t="s">
        <v>258</v>
      </c>
      <c r="E6" s="4" t="s">
        <v>259</v>
      </c>
    </row>
    <row r="7" customFormat="false" ht="32.8" hidden="false" customHeight="false" outlineLevel="0" collapsed="false">
      <c r="A7" s="18" t="s">
        <v>260</v>
      </c>
      <c r="B7" s="4" t="s">
        <v>261</v>
      </c>
      <c r="C7" s="4" t="s">
        <v>262</v>
      </c>
      <c r="D7" s="4" t="s">
        <v>263</v>
      </c>
      <c r="E7" s="4" t="s">
        <v>264</v>
      </c>
    </row>
    <row r="8" customFormat="false" ht="17.15" hidden="false" customHeight="false" outlineLevel="0" collapsed="false">
      <c r="A8" s="18" t="s">
        <v>265</v>
      </c>
      <c r="B8" s="4" t="s">
        <v>266</v>
      </c>
      <c r="C8" s="4" t="s">
        <v>264</v>
      </c>
      <c r="D8" s="4" t="s">
        <v>264</v>
      </c>
      <c r="E8" s="4" t="s">
        <v>264</v>
      </c>
    </row>
    <row r="9" customFormat="false" ht="17.15" hidden="false" customHeight="false" outlineLevel="0" collapsed="false">
      <c r="A9" s="18" t="s">
        <v>267</v>
      </c>
      <c r="B9" s="4" t="s">
        <v>268</v>
      </c>
      <c r="C9" s="4" t="s">
        <v>264</v>
      </c>
      <c r="D9" s="4" t="s">
        <v>264</v>
      </c>
      <c r="E9" s="4" t="s">
        <v>264</v>
      </c>
    </row>
    <row r="10" customFormat="false" ht="17.15" hidden="false" customHeight="false" outlineLevel="0" collapsed="false">
      <c r="A10" s="18" t="s">
        <v>269</v>
      </c>
      <c r="B10" s="4" t="s">
        <v>270</v>
      </c>
      <c r="C10" s="4" t="s">
        <v>271</v>
      </c>
      <c r="D10" s="4" t="s">
        <v>272</v>
      </c>
      <c r="E10" s="4" t="s">
        <v>270</v>
      </c>
    </row>
    <row r="11" customFormat="false" ht="32.8" hidden="false" customHeight="false" outlineLevel="0" collapsed="false">
      <c r="A11" s="18" t="s">
        <v>273</v>
      </c>
      <c r="B11" s="5" t="s">
        <v>274</v>
      </c>
      <c r="C11" s="5" t="s">
        <v>275</v>
      </c>
      <c r="D11" s="5" t="s">
        <v>276</v>
      </c>
      <c r="E11" s="5" t="s">
        <v>274</v>
      </c>
    </row>
    <row r="12" customFormat="false" ht="32.8" hidden="false" customHeight="false" outlineLevel="0" collapsed="false">
      <c r="A12" s="18" t="s">
        <v>277</v>
      </c>
      <c r="B12" s="5" t="s">
        <v>274</v>
      </c>
      <c r="C12" s="4" t="s">
        <v>278</v>
      </c>
      <c r="D12" s="4" t="s">
        <v>279</v>
      </c>
      <c r="E12" s="5" t="s">
        <v>274</v>
      </c>
    </row>
    <row r="13" customFormat="false" ht="48.5" hidden="false" customHeight="false" outlineLevel="0" collapsed="false">
      <c r="A13" s="18" t="s">
        <v>280</v>
      </c>
      <c r="B13" s="5" t="s">
        <v>274</v>
      </c>
      <c r="C13" s="5" t="s">
        <v>281</v>
      </c>
      <c r="D13" s="5" t="s">
        <v>282</v>
      </c>
      <c r="E13" s="5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32.8" hidden="false" customHeight="false" outlineLevel="0" collapsed="false">
      <c r="A1" s="4" t="s">
        <v>283</v>
      </c>
    </row>
    <row r="2" customFormat="false" ht="32.8" hidden="false" customHeight="false" outlineLevel="0" collapsed="false">
      <c r="A2" s="5" t="s">
        <v>284</v>
      </c>
    </row>
    <row r="3" customFormat="false" ht="32.8" hidden="false" customHeight="false" outlineLevel="0" collapsed="false">
      <c r="A3" s="4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2026-09-27T19:23:01Z</dcterms:created>
  <dc:creator>openpyxl</dc:creator>
  <dc:description/>
  <dc:language>en-US</dc:language>
  <cp:lastModifiedBy/>
  <dcterms:modified xsi:type="dcterms:W3CDTF">2026-09-27T20:12:53Z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